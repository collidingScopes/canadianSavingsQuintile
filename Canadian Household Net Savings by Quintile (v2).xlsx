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202300"/>
  <mc:AlternateContent xmlns:mc="http://schemas.openxmlformats.org/markup-compatibility/2006">
    <mc:Choice Requires="x15">
      <x15ac:absPath xmlns:x15ac="http://schemas.microsoft.com/office/spreadsheetml/2010/11/ac" url="C:\Users\alana\Downloads\"/>
    </mc:Choice>
  </mc:AlternateContent>
  <xr:revisionPtr revIDLastSave="0" documentId="13_ncr:1_{23052FFB-8126-4F36-96FA-AD5A5CE3E6FE}" xr6:coauthVersionLast="47" xr6:coauthVersionMax="47" xr10:uidLastSave="{00000000-0000-0000-0000-000000000000}"/>
  <bookViews>
    <workbookView xWindow="-53" yWindow="-53" windowWidth="25706" windowHeight="13786" firstSheet="3" activeTab="4" xr2:uid="{00000000-000D-0000-FFFF-FFFF00000000}"/>
  </bookViews>
  <sheets>
    <sheet name="To do" sheetId="10" r:id="rId1"/>
    <sheet name="2023 Drill Down" sheetId="8" r:id="rId2"/>
    <sheet name="All Ages Over Time" sheetId="15" r:id="rId3"/>
    <sheet name="Under 35 Over Time" sheetId="13" r:id="rId4"/>
    <sheet name="Net Worth" sheetId="19" r:id="rId5"/>
    <sheet name="Net Worth Over Time by Quintile" sheetId="17" r:id="rId6"/>
    <sheet name="CSV Input" sheetId="18" r:id="rId7"/>
    <sheet name="StatCan Data" sheetId="3" r:id="rId8"/>
    <sheet name="2023 per HH by Age and Quintile" sheetId="11" r:id="rId9"/>
    <sheet name="Under 35 per HH Over Time" sheetId="12" r:id="rId10"/>
    <sheet name="All Ages Over Time Data" sheetId="16" r:id="rId11"/>
    <sheet name="2023 by Age and Quintile" sheetId="7" r:id="rId12"/>
    <sheet name="HH Savings by Income Quintile" sheetId="1" r:id="rId13"/>
    <sheet name="HH Savings by Age" sheetId="6" r:id="rId14"/>
    <sheet name="Household Count" sheetId="2" r:id="rId15"/>
    <sheet name="CPI" sheetId="4" r:id="rId16"/>
    <sheet name="Household Debt" sheetId="14" r:id="rId17"/>
    <sheet name="Definitions" sheetId="9" r:id="rId1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9" l="1"/>
  <c r="H9" i="19"/>
  <c r="H6" i="19"/>
  <c r="H15" i="19" s="1"/>
  <c r="G6" i="19"/>
  <c r="G15" i="19" s="1"/>
  <c r="F6" i="19"/>
  <c r="F15" i="19" s="1"/>
  <c r="E6" i="19"/>
  <c r="E15" i="19" s="1"/>
  <c r="D6" i="19"/>
  <c r="D15" i="19" s="1"/>
  <c r="C6" i="19"/>
  <c r="C15" i="19" s="1"/>
  <c r="G5" i="19"/>
  <c r="F5" i="19"/>
  <c r="E5" i="19"/>
  <c r="D5" i="19"/>
  <c r="C5" i="19"/>
  <c r="H5" i="19"/>
  <c r="AA60" i="18"/>
  <c r="Z60" i="18"/>
  <c r="Y60" i="18"/>
  <c r="X60" i="18"/>
  <c r="W60" i="18"/>
  <c r="V60" i="18"/>
  <c r="U60" i="18"/>
  <c r="T60" i="18"/>
  <c r="S60" i="18"/>
  <c r="R60" i="18"/>
  <c r="Q60" i="18"/>
  <c r="P60" i="18"/>
  <c r="O60" i="18"/>
  <c r="N60" i="18"/>
  <c r="M60" i="18"/>
  <c r="L60" i="18"/>
  <c r="K60" i="18"/>
  <c r="J60" i="18"/>
  <c r="I60" i="18"/>
  <c r="H60" i="18"/>
  <c r="G60" i="18"/>
  <c r="F60" i="18"/>
  <c r="E60" i="18"/>
  <c r="D60" i="18"/>
  <c r="AA59" i="18"/>
  <c r="Z59" i="18"/>
  <c r="Y59" i="18"/>
  <c r="X59" i="18"/>
  <c r="W59" i="18"/>
  <c r="V59" i="18"/>
  <c r="U59" i="18"/>
  <c r="T59" i="18"/>
  <c r="S59" i="18"/>
  <c r="R59" i="18"/>
  <c r="Q59" i="18"/>
  <c r="P59" i="18"/>
  <c r="O59" i="18"/>
  <c r="N59" i="18"/>
  <c r="M59" i="18"/>
  <c r="L59" i="18"/>
  <c r="K59" i="18"/>
  <c r="J59" i="18"/>
  <c r="I59" i="18"/>
  <c r="H59" i="18"/>
  <c r="G59" i="18"/>
  <c r="F59" i="18"/>
  <c r="E59" i="18"/>
  <c r="D59" i="18"/>
  <c r="AA58" i="18"/>
  <c r="Z58" i="18"/>
  <c r="Y58" i="18"/>
  <c r="X58" i="18"/>
  <c r="W58" i="18"/>
  <c r="V58" i="18"/>
  <c r="U58" i="18"/>
  <c r="T58" i="18"/>
  <c r="S58" i="18"/>
  <c r="R58" i="18"/>
  <c r="Q58" i="18"/>
  <c r="P58" i="18"/>
  <c r="O58" i="18"/>
  <c r="N58" i="18"/>
  <c r="M58" i="18"/>
  <c r="L58" i="18"/>
  <c r="K58" i="18"/>
  <c r="J58" i="18"/>
  <c r="I58" i="18"/>
  <c r="H58" i="18"/>
  <c r="G58" i="18"/>
  <c r="F58" i="18"/>
  <c r="E58" i="18"/>
  <c r="D58" i="18"/>
  <c r="AA57" i="18"/>
  <c r="Z57" i="18"/>
  <c r="Y57" i="18"/>
  <c r="X57" i="18"/>
  <c r="W57" i="18"/>
  <c r="V57" i="18"/>
  <c r="U57" i="18"/>
  <c r="T57" i="18"/>
  <c r="S57" i="18"/>
  <c r="R57" i="18"/>
  <c r="Q57" i="18"/>
  <c r="P57" i="18"/>
  <c r="O57" i="18"/>
  <c r="N57" i="18"/>
  <c r="M57" i="18"/>
  <c r="L57" i="18"/>
  <c r="K57" i="18"/>
  <c r="J57" i="18"/>
  <c r="I57" i="18"/>
  <c r="H57" i="18"/>
  <c r="G57" i="18"/>
  <c r="F57" i="18"/>
  <c r="E57" i="18"/>
  <c r="D57" i="18"/>
  <c r="AA56" i="18"/>
  <c r="Z56" i="18"/>
  <c r="Y56" i="18"/>
  <c r="X56" i="18"/>
  <c r="W56" i="18"/>
  <c r="V56" i="18"/>
  <c r="U56" i="18"/>
  <c r="T56" i="18"/>
  <c r="S56" i="18"/>
  <c r="R56" i="18"/>
  <c r="Q56" i="18"/>
  <c r="P56" i="18"/>
  <c r="O56" i="18"/>
  <c r="N56" i="18"/>
  <c r="M56" i="18"/>
  <c r="L56" i="18"/>
  <c r="K56" i="18"/>
  <c r="J56" i="18"/>
  <c r="I56" i="18"/>
  <c r="H56" i="18"/>
  <c r="G56" i="18"/>
  <c r="F56" i="18"/>
  <c r="E56" i="18"/>
  <c r="D56" i="18"/>
  <c r="C60" i="18"/>
  <c r="C59" i="18"/>
  <c r="C58" i="18"/>
  <c r="C57" i="18"/>
  <c r="C56" i="18"/>
  <c r="V55" i="18"/>
  <c r="W55" i="18" s="1"/>
  <c r="X55" i="18" s="1"/>
  <c r="Y55" i="18" s="1"/>
  <c r="Z55" i="18" s="1"/>
  <c r="AA55" i="18" s="1"/>
  <c r="P55" i="18"/>
  <c r="Q55" i="18" s="1"/>
  <c r="R55" i="18" s="1"/>
  <c r="S55" i="18" s="1"/>
  <c r="T55" i="18" s="1"/>
  <c r="U55" i="18" s="1"/>
  <c r="E55" i="18"/>
  <c r="F55" i="18" s="1"/>
  <c r="G55" i="18" s="1"/>
  <c r="H55" i="18" s="1"/>
  <c r="I55" i="18" s="1"/>
  <c r="J55" i="18" s="1"/>
  <c r="K55" i="18" s="1"/>
  <c r="L55" i="18" s="1"/>
  <c r="M55" i="18" s="1"/>
  <c r="N55" i="18" s="1"/>
  <c r="O55" i="18" s="1"/>
  <c r="D55" i="18"/>
  <c r="AA25" i="15"/>
  <c r="Z25" i="15"/>
  <c r="Y25" i="15"/>
  <c r="X25" i="15"/>
  <c r="W25" i="15"/>
  <c r="V25" i="15"/>
  <c r="U25" i="15"/>
  <c r="T25" i="15"/>
  <c r="S25" i="15"/>
  <c r="R25" i="15"/>
  <c r="Q25" i="15"/>
  <c r="P25" i="15"/>
  <c r="O25" i="15"/>
  <c r="N25" i="15"/>
  <c r="M25" i="15"/>
  <c r="L25" i="15"/>
  <c r="K25" i="15"/>
  <c r="J25" i="15"/>
  <c r="I25" i="15"/>
  <c r="H25" i="15"/>
  <c r="G25" i="15"/>
  <c r="F25" i="15"/>
  <c r="E25" i="15"/>
  <c r="D25" i="15"/>
  <c r="AA24" i="15"/>
  <c r="AA26" i="15" s="1"/>
  <c r="Z24" i="15"/>
  <c r="Y24" i="15"/>
  <c r="Y26" i="15" s="1"/>
  <c r="X24" i="15"/>
  <c r="X26" i="15" s="1"/>
  <c r="W24" i="15"/>
  <c r="V24" i="15"/>
  <c r="V26" i="15" s="1"/>
  <c r="U24" i="15"/>
  <c r="U26" i="15" s="1"/>
  <c r="T24" i="15"/>
  <c r="S24" i="15"/>
  <c r="R24" i="15"/>
  <c r="Q24" i="15"/>
  <c r="P24" i="15"/>
  <c r="O24" i="15"/>
  <c r="N24" i="15"/>
  <c r="M24" i="15"/>
  <c r="M26" i="15" s="1"/>
  <c r="L24" i="15"/>
  <c r="K24" i="15"/>
  <c r="J24" i="15"/>
  <c r="I24" i="15"/>
  <c r="I26" i="15" s="1"/>
  <c r="H24" i="15"/>
  <c r="G24" i="15"/>
  <c r="F24" i="15"/>
  <c r="E24" i="15"/>
  <c r="E26" i="15" s="1"/>
  <c r="D24" i="15"/>
  <c r="C25" i="15"/>
  <c r="C24" i="15"/>
  <c r="AA19" i="15"/>
  <c r="Z19" i="15"/>
  <c r="Y19" i="15"/>
  <c r="X19" i="15"/>
  <c r="W19" i="15"/>
  <c r="V19" i="15"/>
  <c r="U19" i="15"/>
  <c r="T19" i="15"/>
  <c r="S19" i="15"/>
  <c r="R19" i="15"/>
  <c r="Q19" i="15"/>
  <c r="P19" i="15"/>
  <c r="O19" i="15"/>
  <c r="N19" i="15"/>
  <c r="M19" i="15"/>
  <c r="L19" i="15"/>
  <c r="K19" i="15"/>
  <c r="J19" i="15"/>
  <c r="I19" i="15"/>
  <c r="H19" i="15"/>
  <c r="G19" i="15"/>
  <c r="F19" i="15"/>
  <c r="E19" i="15"/>
  <c r="D19" i="15"/>
  <c r="AA18" i="15"/>
  <c r="AA20" i="15" s="1"/>
  <c r="Z18" i="15"/>
  <c r="Y18" i="15"/>
  <c r="X18" i="15"/>
  <c r="X20" i="15" s="1"/>
  <c r="W18" i="15"/>
  <c r="V18" i="15"/>
  <c r="V20" i="15" s="1"/>
  <c r="U18" i="15"/>
  <c r="T18" i="15"/>
  <c r="T20" i="15" s="1"/>
  <c r="S18" i="15"/>
  <c r="S20" i="15" s="1"/>
  <c r="R18" i="15"/>
  <c r="Q18" i="15"/>
  <c r="P18" i="15"/>
  <c r="P20" i="15" s="1"/>
  <c r="O18" i="15"/>
  <c r="O20" i="15" s="1"/>
  <c r="N18" i="15"/>
  <c r="N20" i="15" s="1"/>
  <c r="M18" i="15"/>
  <c r="M20" i="15" s="1"/>
  <c r="L18" i="15"/>
  <c r="L20" i="15" s="1"/>
  <c r="K18" i="15"/>
  <c r="J18" i="15"/>
  <c r="I18" i="15"/>
  <c r="H18" i="15"/>
  <c r="H20" i="15" s="1"/>
  <c r="G18" i="15"/>
  <c r="G20" i="15" s="1"/>
  <c r="F18" i="15"/>
  <c r="F20" i="15" s="1"/>
  <c r="E18" i="15"/>
  <c r="D18" i="15"/>
  <c r="D20" i="15" s="1"/>
  <c r="C19" i="15"/>
  <c r="C18" i="15"/>
  <c r="AA13" i="15"/>
  <c r="Z13" i="15"/>
  <c r="Y13" i="15"/>
  <c r="X13" i="15"/>
  <c r="W13" i="15"/>
  <c r="V13" i="15"/>
  <c r="U13" i="15"/>
  <c r="T13" i="15"/>
  <c r="S13" i="15"/>
  <c r="R13" i="15"/>
  <c r="Q13" i="15"/>
  <c r="P13" i="15"/>
  <c r="O13" i="15"/>
  <c r="N13" i="15"/>
  <c r="M13" i="15"/>
  <c r="L13" i="15"/>
  <c r="K13" i="15"/>
  <c r="J13" i="15"/>
  <c r="I13" i="15"/>
  <c r="H13" i="15"/>
  <c r="G13" i="15"/>
  <c r="F13" i="15"/>
  <c r="E13" i="15"/>
  <c r="D13" i="15"/>
  <c r="C13" i="15"/>
  <c r="AA12" i="15"/>
  <c r="Z12" i="15"/>
  <c r="Y12" i="15"/>
  <c r="Y14" i="15" s="1"/>
  <c r="X12" i="15"/>
  <c r="W12" i="15"/>
  <c r="W14" i="15" s="1"/>
  <c r="V12" i="15"/>
  <c r="U12" i="15"/>
  <c r="T12" i="15"/>
  <c r="S12" i="15"/>
  <c r="S14" i="15" s="1"/>
  <c r="R12" i="15"/>
  <c r="Q12" i="15"/>
  <c r="Q14" i="15" s="1"/>
  <c r="P12" i="15"/>
  <c r="O12" i="15"/>
  <c r="O14" i="15" s="1"/>
  <c r="N12" i="15"/>
  <c r="M12" i="15"/>
  <c r="L12" i="15"/>
  <c r="K12" i="15"/>
  <c r="J12" i="15"/>
  <c r="I12" i="15"/>
  <c r="I14" i="15" s="1"/>
  <c r="H12" i="15"/>
  <c r="G12" i="15"/>
  <c r="G14" i="15" s="1"/>
  <c r="F12" i="15"/>
  <c r="E12" i="15"/>
  <c r="D12" i="15"/>
  <c r="C12" i="15"/>
  <c r="Q26" i="15"/>
  <c r="P26" i="15"/>
  <c r="H26" i="15"/>
  <c r="Z20" i="15"/>
  <c r="W20" i="15"/>
  <c r="U20" i="15"/>
  <c r="R20" i="15"/>
  <c r="K20" i="15"/>
  <c r="J20" i="15"/>
  <c r="AA14" i="15"/>
  <c r="K14" i="15"/>
  <c r="H52" i="18"/>
  <c r="G52" i="18"/>
  <c r="F52" i="18"/>
  <c r="E52" i="18"/>
  <c r="D52" i="18"/>
  <c r="C52" i="18"/>
  <c r="H51" i="18"/>
  <c r="G51" i="18"/>
  <c r="F51" i="18"/>
  <c r="E51" i="18"/>
  <c r="D51" i="18"/>
  <c r="C51" i="18"/>
  <c r="H50" i="18"/>
  <c r="G50" i="18"/>
  <c r="F50" i="18"/>
  <c r="E50" i="18"/>
  <c r="D50" i="18"/>
  <c r="C50" i="18"/>
  <c r="H49" i="18"/>
  <c r="G49" i="18"/>
  <c r="F49" i="18"/>
  <c r="E49" i="18"/>
  <c r="D49" i="18"/>
  <c r="C49" i="18"/>
  <c r="H48" i="18"/>
  <c r="G48" i="18"/>
  <c r="F48" i="18"/>
  <c r="E48" i="18"/>
  <c r="D48" i="18"/>
  <c r="C48" i="18"/>
  <c r="H47" i="18"/>
  <c r="G47" i="18"/>
  <c r="F47" i="18"/>
  <c r="E47" i="18"/>
  <c r="D47" i="18"/>
  <c r="C47" i="18"/>
  <c r="H38" i="18"/>
  <c r="G38" i="18"/>
  <c r="F38" i="18"/>
  <c r="E38" i="18"/>
  <c r="D38" i="18"/>
  <c r="C38" i="18"/>
  <c r="H37" i="18"/>
  <c r="G37" i="18"/>
  <c r="F37" i="18"/>
  <c r="E37" i="18"/>
  <c r="D37" i="18"/>
  <c r="C37" i="18"/>
  <c r="H36" i="18"/>
  <c r="G36" i="18"/>
  <c r="F36" i="18"/>
  <c r="E36" i="18"/>
  <c r="D36" i="18"/>
  <c r="C36" i="18"/>
  <c r="H35" i="18"/>
  <c r="G35" i="18"/>
  <c r="F35" i="18"/>
  <c r="E35" i="18"/>
  <c r="D35" i="18"/>
  <c r="C35" i="18"/>
  <c r="H34" i="18"/>
  <c r="G34" i="18"/>
  <c r="F34" i="18"/>
  <c r="E34" i="18"/>
  <c r="D34" i="18"/>
  <c r="C34" i="18"/>
  <c r="H33" i="18"/>
  <c r="G33" i="18"/>
  <c r="F33" i="18"/>
  <c r="E33" i="18"/>
  <c r="D33" i="18"/>
  <c r="C33" i="18"/>
  <c r="H24" i="18"/>
  <c r="G24" i="18"/>
  <c r="F24" i="18"/>
  <c r="E24" i="18"/>
  <c r="D24" i="18"/>
  <c r="C24" i="18"/>
  <c r="H23" i="18"/>
  <c r="G23" i="18"/>
  <c r="F23" i="18"/>
  <c r="E23" i="18"/>
  <c r="D23" i="18"/>
  <c r="C23" i="18"/>
  <c r="H22" i="18"/>
  <c r="G22" i="18"/>
  <c r="F22" i="18"/>
  <c r="E22" i="18"/>
  <c r="D22" i="18"/>
  <c r="C22" i="18"/>
  <c r="H21" i="18"/>
  <c r="G21" i="18"/>
  <c r="F21" i="18"/>
  <c r="E21" i="18"/>
  <c r="D21" i="18"/>
  <c r="C21" i="18"/>
  <c r="H20" i="18"/>
  <c r="G20" i="18"/>
  <c r="F20" i="18"/>
  <c r="E20" i="18"/>
  <c r="D20" i="18"/>
  <c r="C20" i="18"/>
  <c r="H19" i="18"/>
  <c r="G19" i="18"/>
  <c r="F19" i="18"/>
  <c r="E19" i="18"/>
  <c r="D19" i="18"/>
  <c r="C19" i="18"/>
  <c r="H10" i="18"/>
  <c r="G10" i="18"/>
  <c r="F10" i="18"/>
  <c r="E10" i="18"/>
  <c r="D10" i="18"/>
  <c r="C10" i="18"/>
  <c r="H9" i="18"/>
  <c r="G9" i="18"/>
  <c r="F9" i="18"/>
  <c r="E9" i="18"/>
  <c r="D9" i="18"/>
  <c r="C9" i="18"/>
  <c r="H8" i="18"/>
  <c r="G8" i="18"/>
  <c r="F8" i="18"/>
  <c r="E8" i="18"/>
  <c r="D8" i="18"/>
  <c r="C8" i="18"/>
  <c r="H7" i="18"/>
  <c r="G7" i="18"/>
  <c r="F7" i="18"/>
  <c r="E7" i="18"/>
  <c r="D7" i="18"/>
  <c r="C7" i="18"/>
  <c r="H6" i="18"/>
  <c r="G6" i="18"/>
  <c r="F6" i="18"/>
  <c r="E6" i="18"/>
  <c r="D6" i="18"/>
  <c r="C6" i="18"/>
  <c r="H5" i="18"/>
  <c r="G5" i="18"/>
  <c r="F5" i="18"/>
  <c r="E5" i="18"/>
  <c r="D5" i="18"/>
  <c r="C5" i="18"/>
  <c r="G14" i="19" l="1"/>
  <c r="G16" i="19" s="1"/>
  <c r="G17" i="19" s="1"/>
  <c r="F14" i="19"/>
  <c r="F16" i="19" s="1"/>
  <c r="F17" i="19" s="1"/>
  <c r="E14" i="19"/>
  <c r="E16" i="19" s="1"/>
  <c r="E17" i="19" s="1"/>
  <c r="H14" i="19"/>
  <c r="H16" i="19" s="1"/>
  <c r="H17" i="19" s="1"/>
  <c r="C14" i="19"/>
  <c r="C16" i="19" s="1"/>
  <c r="C17" i="19" s="1"/>
  <c r="D14" i="19"/>
  <c r="D16" i="19" s="1"/>
  <c r="D17" i="19" s="1"/>
  <c r="S26" i="15"/>
  <c r="P14" i="15"/>
  <c r="Q15" i="15" s="1"/>
  <c r="E20" i="15"/>
  <c r="J14" i="15"/>
  <c r="K15" i="15" s="1"/>
  <c r="R14" i="15"/>
  <c r="S15" i="15" s="1"/>
  <c r="Z14" i="15"/>
  <c r="Z15" i="15" s="1"/>
  <c r="V14" i="15"/>
  <c r="W15" i="15" s="1"/>
  <c r="H14" i="15"/>
  <c r="K26" i="15"/>
  <c r="X14" i="15"/>
  <c r="N14" i="15"/>
  <c r="I27" i="15"/>
  <c r="E14" i="15"/>
  <c r="F26" i="15"/>
  <c r="M14" i="15"/>
  <c r="N15" i="15" s="1"/>
  <c r="U14" i="15"/>
  <c r="C20" i="15"/>
  <c r="N26" i="15"/>
  <c r="F14" i="15"/>
  <c r="G15" i="15" s="1"/>
  <c r="T21" i="15"/>
  <c r="Q27" i="15"/>
  <c r="C26" i="15"/>
  <c r="D14" i="15"/>
  <c r="E15" i="15" s="1"/>
  <c r="L14" i="15"/>
  <c r="T14" i="15"/>
  <c r="C14" i="15"/>
  <c r="O15" i="15"/>
  <c r="I15" i="15"/>
  <c r="Y15" i="15"/>
  <c r="J15" i="15"/>
  <c r="L15" i="15"/>
  <c r="AA15" i="15"/>
  <c r="N21" i="15"/>
  <c r="O21" i="15"/>
  <c r="X21" i="15"/>
  <c r="J26" i="15"/>
  <c r="J27" i="15" s="1"/>
  <c r="R26" i="15"/>
  <c r="R27" i="15" s="1"/>
  <c r="Z26" i="15"/>
  <c r="Z27" i="15" s="1"/>
  <c r="I20" i="15"/>
  <c r="I21" i="15" s="1"/>
  <c r="Q20" i="15"/>
  <c r="Q21" i="15" s="1"/>
  <c r="Y20" i="15"/>
  <c r="Y21" i="15" s="1"/>
  <c r="D26" i="15"/>
  <c r="L26" i="15"/>
  <c r="L27" i="15" s="1"/>
  <c r="T26" i="15"/>
  <c r="U27" i="15" s="1"/>
  <c r="M21" i="15"/>
  <c r="U21" i="15"/>
  <c r="F21" i="15"/>
  <c r="G21" i="15"/>
  <c r="H21" i="15"/>
  <c r="E21" i="15"/>
  <c r="V21" i="15"/>
  <c r="W21" i="15"/>
  <c r="P21" i="15"/>
  <c r="G26" i="15"/>
  <c r="H27" i="15" s="1"/>
  <c r="O26" i="15"/>
  <c r="W26" i="15"/>
  <c r="X27" i="15" s="1"/>
  <c r="F27" i="15"/>
  <c r="V27" i="15"/>
  <c r="N27" i="15"/>
  <c r="W27" i="15"/>
  <c r="Y27" i="15"/>
  <c r="J21" i="15"/>
  <c r="K21" i="15"/>
  <c r="S21" i="15"/>
  <c r="AA21" i="15"/>
  <c r="D21" i="15"/>
  <c r="L21" i="15"/>
  <c r="H15" i="15"/>
  <c r="P15" i="15"/>
  <c r="X15" i="15"/>
  <c r="AA31" i="15"/>
  <c r="Z31" i="15"/>
  <c r="Y31" i="15"/>
  <c r="X31" i="15"/>
  <c r="W31" i="15"/>
  <c r="V31" i="15"/>
  <c r="U31" i="15"/>
  <c r="T31" i="15"/>
  <c r="S31" i="15"/>
  <c r="R31" i="15"/>
  <c r="Q31" i="15"/>
  <c r="P31" i="15"/>
  <c r="O31" i="15"/>
  <c r="N31" i="15"/>
  <c r="M31" i="15"/>
  <c r="L31" i="15"/>
  <c r="K31" i="15"/>
  <c r="J31" i="15"/>
  <c r="I31" i="15"/>
  <c r="H31" i="15"/>
  <c r="G31" i="15"/>
  <c r="F31" i="15"/>
  <c r="E31" i="15"/>
  <c r="D31" i="15"/>
  <c r="C31" i="15"/>
  <c r="AA30" i="15"/>
  <c r="Z30" i="15"/>
  <c r="Y30" i="15"/>
  <c r="X30" i="15"/>
  <c r="W30" i="15"/>
  <c r="V30" i="15"/>
  <c r="U30" i="15"/>
  <c r="T30" i="15"/>
  <c r="S30" i="15"/>
  <c r="R30" i="15"/>
  <c r="Q30" i="15"/>
  <c r="P30" i="15"/>
  <c r="O30" i="15"/>
  <c r="N30" i="15"/>
  <c r="M30" i="15"/>
  <c r="L30" i="15"/>
  <c r="K30" i="15"/>
  <c r="J30" i="15"/>
  <c r="I30" i="15"/>
  <c r="H30" i="15"/>
  <c r="G30" i="15"/>
  <c r="F30" i="15"/>
  <c r="E30" i="15"/>
  <c r="D30" i="15"/>
  <c r="C30" i="15"/>
  <c r="AA7" i="15"/>
  <c r="Z7" i="15"/>
  <c r="Y7" i="15"/>
  <c r="X7" i="15"/>
  <c r="W7" i="15"/>
  <c r="V7" i="15"/>
  <c r="U7" i="15"/>
  <c r="T7" i="15"/>
  <c r="S7" i="15"/>
  <c r="R7" i="15"/>
  <c r="Q7" i="15"/>
  <c r="P7" i="15"/>
  <c r="O7" i="15"/>
  <c r="N7" i="15"/>
  <c r="M7" i="15"/>
  <c r="L7" i="15"/>
  <c r="K7" i="15"/>
  <c r="J7" i="15"/>
  <c r="I7" i="15"/>
  <c r="H7" i="15"/>
  <c r="G7" i="15"/>
  <c r="F7" i="15"/>
  <c r="E7" i="15"/>
  <c r="D7" i="15"/>
  <c r="C7" i="15"/>
  <c r="AA6" i="15"/>
  <c r="Z6" i="15"/>
  <c r="Y6" i="15"/>
  <c r="X6" i="15"/>
  <c r="W6" i="15"/>
  <c r="V6" i="15"/>
  <c r="U6" i="15"/>
  <c r="T6" i="15"/>
  <c r="S6" i="15"/>
  <c r="R6" i="15"/>
  <c r="Q6" i="15"/>
  <c r="P6" i="15"/>
  <c r="O6" i="15"/>
  <c r="N6" i="15"/>
  <c r="M6" i="15"/>
  <c r="L6" i="15"/>
  <c r="K6" i="15"/>
  <c r="J6" i="15"/>
  <c r="I6" i="15"/>
  <c r="H6" i="15"/>
  <c r="G6" i="15"/>
  <c r="F6" i="15"/>
  <c r="E6" i="15"/>
  <c r="D6" i="15"/>
  <c r="C6" i="15"/>
  <c r="D39" i="15"/>
  <c r="E39" i="15" s="1"/>
  <c r="F39" i="15" s="1"/>
  <c r="G39" i="15" s="1"/>
  <c r="H39" i="15" s="1"/>
  <c r="I39" i="15" s="1"/>
  <c r="J39" i="15" s="1"/>
  <c r="K39" i="15" s="1"/>
  <c r="L39" i="15" s="1"/>
  <c r="M39" i="15" s="1"/>
  <c r="N39" i="15" s="1"/>
  <c r="O39" i="15" s="1"/>
  <c r="P39" i="15" s="1"/>
  <c r="Q39" i="15" s="1"/>
  <c r="R39" i="15" s="1"/>
  <c r="S39" i="15" s="1"/>
  <c r="T39" i="15" s="1"/>
  <c r="U39" i="15" s="1"/>
  <c r="V39" i="15" s="1"/>
  <c r="W39" i="15" s="1"/>
  <c r="X39" i="15" s="1"/>
  <c r="Y39" i="15" s="1"/>
  <c r="Z39" i="15" s="1"/>
  <c r="AA39" i="15" s="1"/>
  <c r="AA35" i="15"/>
  <c r="N54" i="15" s="1"/>
  <c r="Z35" i="15"/>
  <c r="Y35" i="15"/>
  <c r="X35" i="15"/>
  <c r="W35" i="15"/>
  <c r="V35" i="15"/>
  <c r="U35" i="15"/>
  <c r="T35" i="15"/>
  <c r="S35" i="15"/>
  <c r="R35" i="15"/>
  <c r="Q35" i="15"/>
  <c r="P35" i="15"/>
  <c r="O35" i="15"/>
  <c r="N35" i="15"/>
  <c r="M35" i="15"/>
  <c r="L35" i="15"/>
  <c r="K35" i="15"/>
  <c r="J35" i="15"/>
  <c r="I35" i="15"/>
  <c r="H35" i="15"/>
  <c r="G35" i="15"/>
  <c r="F35" i="15"/>
  <c r="E35" i="15"/>
  <c r="D35" i="15"/>
  <c r="C35" i="15"/>
  <c r="D4" i="15"/>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R15" i="15" l="1"/>
  <c r="P53" i="15"/>
  <c r="W47" i="15"/>
  <c r="I59" i="15"/>
  <c r="U54" i="15"/>
  <c r="X47" i="15"/>
  <c r="J59" i="15"/>
  <c r="J61" i="15" s="1"/>
  <c r="Y60" i="15"/>
  <c r="P60" i="15"/>
  <c r="M47" i="15"/>
  <c r="O54" i="15"/>
  <c r="G53" i="15"/>
  <c r="G48" i="15"/>
  <c r="W54" i="15"/>
  <c r="H53" i="15"/>
  <c r="H55" i="15" s="1"/>
  <c r="O47" i="15"/>
  <c r="O49" i="15" s="1"/>
  <c r="V53" i="15"/>
  <c r="M54" i="15"/>
  <c r="P47" i="15"/>
  <c r="C59" i="15"/>
  <c r="Q60" i="15"/>
  <c r="H60" i="15"/>
  <c r="E47" i="15"/>
  <c r="G54" i="15"/>
  <c r="Y59" i="15"/>
  <c r="R59" i="15"/>
  <c r="G47" i="15"/>
  <c r="N53" i="15"/>
  <c r="N55" i="15" s="1"/>
  <c r="E54" i="15"/>
  <c r="T54" i="15"/>
  <c r="P59" i="15"/>
  <c r="P61" i="15" s="1"/>
  <c r="G60" i="15"/>
  <c r="F54" i="15"/>
  <c r="F48" i="15"/>
  <c r="H47" i="15"/>
  <c r="S27" i="15"/>
  <c r="F53" i="15"/>
  <c r="F55" i="15" s="1"/>
  <c r="U53" i="15"/>
  <c r="U55" i="15" s="1"/>
  <c r="Z60" i="15"/>
  <c r="L54" i="15"/>
  <c r="Q59" i="15"/>
  <c r="H59" i="15"/>
  <c r="W53" i="15"/>
  <c r="F47" i="15"/>
  <c r="F49" i="15" s="1"/>
  <c r="X53" i="15"/>
  <c r="U47" i="15"/>
  <c r="I60" i="15"/>
  <c r="D53" i="15"/>
  <c r="D55" i="15" s="1"/>
  <c r="X59" i="15"/>
  <c r="T53" i="15"/>
  <c r="E53" i="15"/>
  <c r="R60" i="15"/>
  <c r="D54" i="15"/>
  <c r="U48" i="15"/>
  <c r="T48" i="15"/>
  <c r="E48" i="15"/>
  <c r="V54" i="15"/>
  <c r="K59" i="15"/>
  <c r="X60" i="15"/>
  <c r="O27" i="15"/>
  <c r="V15" i="15"/>
  <c r="U59" i="15"/>
  <c r="U61" i="15" s="1"/>
  <c r="M53" i="15"/>
  <c r="M55" i="15" s="1"/>
  <c r="L53" i="15"/>
  <c r="L55" i="15" s="1"/>
  <c r="W48" i="15"/>
  <c r="J60" i="15"/>
  <c r="V48" i="15"/>
  <c r="N47" i="15"/>
  <c r="L48" i="15"/>
  <c r="W60" i="15"/>
  <c r="S54" i="15"/>
  <c r="S48" i="15"/>
  <c r="D47" i="15"/>
  <c r="M60" i="15"/>
  <c r="Z54" i="15"/>
  <c r="S53" i="15"/>
  <c r="Z48" i="15"/>
  <c r="S47" i="15"/>
  <c r="Q54" i="15"/>
  <c r="J53" i="15"/>
  <c r="J55" i="15" s="1"/>
  <c r="J56" i="15" s="1"/>
  <c r="I48" i="15"/>
  <c r="J47" i="15"/>
  <c r="C60" i="15"/>
  <c r="D59" i="15"/>
  <c r="Y53" i="15"/>
  <c r="Y55" i="15" s="1"/>
  <c r="P48" i="15"/>
  <c r="K54" i="15"/>
  <c r="C48" i="15"/>
  <c r="U60" i="15"/>
  <c r="V59" i="15"/>
  <c r="V61" i="15" s="1"/>
  <c r="J54" i="15"/>
  <c r="C53" i="15"/>
  <c r="AA47" i="15"/>
  <c r="C47" i="15"/>
  <c r="T60" i="15"/>
  <c r="T61" i="15" s="1"/>
  <c r="T62" i="15" s="1"/>
  <c r="E59" i="15"/>
  <c r="E61" i="15" s="1"/>
  <c r="I54" i="15"/>
  <c r="Z47" i="15"/>
  <c r="AA60" i="15"/>
  <c r="L59" i="15"/>
  <c r="H54" i="15"/>
  <c r="I53" i="15"/>
  <c r="I55" i="15" s="1"/>
  <c r="H48" i="15"/>
  <c r="I47" i="15"/>
  <c r="I49" i="15" s="1"/>
  <c r="AA54" i="15"/>
  <c r="T47" i="15"/>
  <c r="E60" i="15"/>
  <c r="F59" i="15"/>
  <c r="F61" i="15" s="1"/>
  <c r="AA53" i="15"/>
  <c r="AA55" i="15" s="1"/>
  <c r="R48" i="15"/>
  <c r="K47" i="15"/>
  <c r="D60" i="15"/>
  <c r="D61" i="15" s="1"/>
  <c r="Y54" i="15"/>
  <c r="R53" i="15"/>
  <c r="R55" i="15" s="1"/>
  <c r="Q48" i="15"/>
  <c r="K60" i="15"/>
  <c r="P54" i="15"/>
  <c r="Y47" i="15"/>
  <c r="Y49" i="15" s="1"/>
  <c r="G59" i="15"/>
  <c r="AA48" i="15"/>
  <c r="L47" i="15"/>
  <c r="N59" i="15"/>
  <c r="R54" i="15"/>
  <c r="K53" i="15"/>
  <c r="J48" i="15"/>
  <c r="L60" i="15"/>
  <c r="L61" i="15" s="1"/>
  <c r="M59" i="15"/>
  <c r="M61" i="15" s="1"/>
  <c r="M62" i="15" s="1"/>
  <c r="Z53" i="15"/>
  <c r="Z55" i="15" s="1"/>
  <c r="Z56" i="15" s="1"/>
  <c r="Y48" i="15"/>
  <c r="R47" i="15"/>
  <c r="S60" i="15"/>
  <c r="T59" i="15"/>
  <c r="X54" i="15"/>
  <c r="Q53" i="15"/>
  <c r="X48" i="15"/>
  <c r="Q47" i="15"/>
  <c r="Q49" i="15" s="1"/>
  <c r="V60" i="15"/>
  <c r="N60" i="15"/>
  <c r="F60" i="15"/>
  <c r="W59" i="15"/>
  <c r="O59" i="15"/>
  <c r="C54" i="15"/>
  <c r="K48" i="15"/>
  <c r="AA59" i="15"/>
  <c r="AA61" i="15" s="1"/>
  <c r="O53" i="15"/>
  <c r="O55" i="15" s="1"/>
  <c r="O56" i="15" s="1"/>
  <c r="S59" i="15"/>
  <c r="S61" i="15" s="1"/>
  <c r="O48" i="15"/>
  <c r="Z59" i="15"/>
  <c r="N48" i="15"/>
  <c r="M48" i="15"/>
  <c r="D48" i="15"/>
  <c r="O60" i="15"/>
  <c r="V47" i="15"/>
  <c r="G27" i="15"/>
  <c r="D15" i="15"/>
  <c r="U15" i="15"/>
  <c r="Z21" i="15"/>
  <c r="AA27" i="15"/>
  <c r="M15" i="15"/>
  <c r="F15" i="15"/>
  <c r="T15" i="15"/>
  <c r="P27" i="15"/>
  <c r="K27" i="15"/>
  <c r="M27" i="15"/>
  <c r="T27" i="15"/>
  <c r="D27" i="15"/>
  <c r="R21" i="15"/>
  <c r="E27" i="15"/>
  <c r="I8" i="15"/>
  <c r="Q8" i="15"/>
  <c r="O32" i="15"/>
  <c r="E8" i="15"/>
  <c r="M8" i="15"/>
  <c r="U8" i="15"/>
  <c r="K32" i="15"/>
  <c r="AA32" i="15"/>
  <c r="W32" i="15"/>
  <c r="K66" i="15"/>
  <c r="J8" i="15"/>
  <c r="R8" i="15"/>
  <c r="Z8" i="15"/>
  <c r="Q66" i="15"/>
  <c r="J32" i="15"/>
  <c r="K33" i="15" s="1"/>
  <c r="R32" i="15"/>
  <c r="Z32" i="15"/>
  <c r="I32" i="15"/>
  <c r="Q32" i="15"/>
  <c r="N8" i="15"/>
  <c r="F42" i="15"/>
  <c r="K42" i="15"/>
  <c r="G42" i="15"/>
  <c r="I42" i="15"/>
  <c r="W42" i="15"/>
  <c r="V66" i="15"/>
  <c r="C42" i="15"/>
  <c r="AA42" i="15"/>
  <c r="Y32" i="15"/>
  <c r="K65" i="15"/>
  <c r="S65" i="15"/>
  <c r="R66" i="15"/>
  <c r="S42" i="15"/>
  <c r="J66" i="15"/>
  <c r="V41" i="15"/>
  <c r="E42" i="15"/>
  <c r="AA66" i="15"/>
  <c r="C65" i="15"/>
  <c r="V65" i="15"/>
  <c r="S66" i="15"/>
  <c r="Y65" i="15"/>
  <c r="D66" i="15"/>
  <c r="V32" i="15"/>
  <c r="J42" i="15"/>
  <c r="F41" i="15"/>
  <c r="U42" i="15"/>
  <c r="N42" i="15"/>
  <c r="L66" i="15"/>
  <c r="F65" i="15"/>
  <c r="N65" i="15"/>
  <c r="R42" i="15"/>
  <c r="W66" i="15"/>
  <c r="P66" i="15"/>
  <c r="Q41" i="15"/>
  <c r="H42" i="15"/>
  <c r="F66" i="15"/>
  <c r="X66" i="15"/>
  <c r="G66" i="15"/>
  <c r="O66" i="15"/>
  <c r="Q65" i="15"/>
  <c r="N41" i="15"/>
  <c r="M42" i="15"/>
  <c r="C66" i="15"/>
  <c r="O42" i="15"/>
  <c r="V42" i="15"/>
  <c r="T66" i="15"/>
  <c r="Q42" i="15"/>
  <c r="S32" i="15"/>
  <c r="H66" i="15"/>
  <c r="P42" i="15"/>
  <c r="I41" i="15"/>
  <c r="Y41" i="15"/>
  <c r="X42" i="15"/>
  <c r="N32" i="15"/>
  <c r="Y42" i="15"/>
  <c r="AA65" i="15"/>
  <c r="I65" i="15"/>
  <c r="T41" i="15"/>
  <c r="N66" i="15"/>
  <c r="G32" i="15"/>
  <c r="E66" i="15"/>
  <c r="M66" i="15"/>
  <c r="U66" i="15"/>
  <c r="F32" i="15"/>
  <c r="C32" i="15"/>
  <c r="D8" i="15"/>
  <c r="L8" i="15"/>
  <c r="D41" i="15"/>
  <c r="T8" i="15"/>
  <c r="L41" i="15"/>
  <c r="Y8" i="15"/>
  <c r="Z66" i="15"/>
  <c r="S8" i="15"/>
  <c r="S41" i="15"/>
  <c r="Z42" i="15"/>
  <c r="D65" i="15"/>
  <c r="D32" i="15"/>
  <c r="L65" i="15"/>
  <c r="L32" i="15"/>
  <c r="T65" i="15"/>
  <c r="T32" i="15"/>
  <c r="E65" i="15"/>
  <c r="E32" i="15"/>
  <c r="M65" i="15"/>
  <c r="M32" i="15"/>
  <c r="U65" i="15"/>
  <c r="U32" i="15"/>
  <c r="K8" i="15"/>
  <c r="K41" i="15"/>
  <c r="O41" i="15"/>
  <c r="O8" i="15"/>
  <c r="V8" i="15"/>
  <c r="H32" i="15"/>
  <c r="H65" i="15"/>
  <c r="P32" i="15"/>
  <c r="P33" i="15" s="1"/>
  <c r="P65" i="15"/>
  <c r="X32" i="15"/>
  <c r="X65" i="15"/>
  <c r="C8" i="15"/>
  <c r="C41" i="15"/>
  <c r="W41" i="15"/>
  <c r="W8" i="15"/>
  <c r="H41" i="15"/>
  <c r="H8" i="15"/>
  <c r="P41" i="15"/>
  <c r="P8" i="15"/>
  <c r="X41" i="15"/>
  <c r="X8" i="15"/>
  <c r="AA8" i="15"/>
  <c r="AA41" i="15"/>
  <c r="G41" i="15"/>
  <c r="G8" i="15"/>
  <c r="F8" i="15"/>
  <c r="J41" i="15"/>
  <c r="R41" i="15"/>
  <c r="Z41" i="15"/>
  <c r="G65" i="15"/>
  <c r="O65" i="15"/>
  <c r="W65" i="15"/>
  <c r="M41" i="15"/>
  <c r="D42" i="15"/>
  <c r="T42" i="15"/>
  <c r="R65" i="15"/>
  <c r="I66" i="15"/>
  <c r="Y66" i="15"/>
  <c r="E41" i="15"/>
  <c r="U41" i="15"/>
  <c r="L42" i="15"/>
  <c r="J65" i="15"/>
  <c r="Z65" i="15"/>
  <c r="G21" i="8"/>
  <c r="F21" i="8"/>
  <c r="E21" i="8"/>
  <c r="D21" i="8"/>
  <c r="G20" i="8"/>
  <c r="F20" i="8"/>
  <c r="E20" i="8"/>
  <c r="D20" i="8"/>
  <c r="C21" i="8"/>
  <c r="C20" i="8"/>
  <c r="H24" i="8"/>
  <c r="H19" i="8" a="1"/>
  <c r="H22" i="8" s="1"/>
  <c r="G24" i="8"/>
  <c r="F24" i="8"/>
  <c r="E24" i="8"/>
  <c r="D24" i="8"/>
  <c r="C24" i="8"/>
  <c r="G23" i="8"/>
  <c r="F23" i="8"/>
  <c r="E23" i="8"/>
  <c r="D23" i="8"/>
  <c r="C23" i="8"/>
  <c r="G22" i="8"/>
  <c r="F22" i="8"/>
  <c r="E22" i="8"/>
  <c r="D22" i="8"/>
  <c r="C22" i="8"/>
  <c r="G19" i="8"/>
  <c r="F19" i="8"/>
  <c r="E19" i="8"/>
  <c r="D19" i="8"/>
  <c r="C19" i="8"/>
  <c r="H10" i="8"/>
  <c r="G10" i="8"/>
  <c r="F10" i="8"/>
  <c r="E10" i="8"/>
  <c r="D10" i="8"/>
  <c r="C10" i="8"/>
  <c r="H9" i="8"/>
  <c r="G9" i="8"/>
  <c r="F9" i="8"/>
  <c r="E9" i="8"/>
  <c r="D9" i="8"/>
  <c r="C9" i="8"/>
  <c r="H8" i="8"/>
  <c r="G8" i="8"/>
  <c r="F8" i="8"/>
  <c r="E8" i="8"/>
  <c r="E36" i="8" s="1"/>
  <c r="D8" i="8"/>
  <c r="C8" i="8"/>
  <c r="H6" i="8"/>
  <c r="H7" i="8"/>
  <c r="G7" i="8"/>
  <c r="F7" i="8"/>
  <c r="F35" i="8" s="1"/>
  <c r="E7" i="8"/>
  <c r="E35" i="8" s="1"/>
  <c r="D7" i="8"/>
  <c r="C7" i="8"/>
  <c r="C35" i="8" s="1"/>
  <c r="G6" i="8"/>
  <c r="F6" i="8"/>
  <c r="E6" i="8"/>
  <c r="D6" i="8"/>
  <c r="C6" i="8"/>
  <c r="C34" i="8" s="1"/>
  <c r="H5" i="8"/>
  <c r="G5" i="8"/>
  <c r="F5" i="8"/>
  <c r="E5" i="8"/>
  <c r="D5" i="8"/>
  <c r="C5" i="8"/>
  <c r="V30" i="13"/>
  <c r="U30" i="13"/>
  <c r="N30" i="13"/>
  <c r="M30" i="13"/>
  <c r="F30" i="13"/>
  <c r="E30" i="13"/>
  <c r="W29" i="13"/>
  <c r="V29" i="13"/>
  <c r="V31" i="13" s="1"/>
  <c r="O29" i="13"/>
  <c r="N29" i="13"/>
  <c r="N31" i="13" s="1"/>
  <c r="G29" i="13"/>
  <c r="F29" i="13"/>
  <c r="F31" i="13" s="1"/>
  <c r="X24" i="13"/>
  <c r="W24" i="13"/>
  <c r="P24" i="13"/>
  <c r="O24" i="13"/>
  <c r="H24" i="13"/>
  <c r="G24" i="13"/>
  <c r="X23" i="13"/>
  <c r="X25" i="13" s="1"/>
  <c r="P23" i="13"/>
  <c r="P25" i="13" s="1"/>
  <c r="H23" i="13"/>
  <c r="H25" i="13" s="1"/>
  <c r="AA17" i="13"/>
  <c r="Z24" i="13" s="1"/>
  <c r="Z17" i="13"/>
  <c r="Y17" i="13"/>
  <c r="Y23" i="13" s="1"/>
  <c r="X17" i="13"/>
  <c r="W17" i="13"/>
  <c r="V17" i="13"/>
  <c r="U17" i="13"/>
  <c r="T17" i="13"/>
  <c r="S17" i="13"/>
  <c r="R17" i="13"/>
  <c r="Q17" i="13"/>
  <c r="Q23" i="13" s="1"/>
  <c r="P17" i="13"/>
  <c r="O17" i="13"/>
  <c r="N17" i="13"/>
  <c r="M17" i="13"/>
  <c r="L17" i="13"/>
  <c r="K17" i="13"/>
  <c r="J17" i="13"/>
  <c r="I17" i="13"/>
  <c r="I23" i="13" s="1"/>
  <c r="H17" i="13"/>
  <c r="G17" i="13"/>
  <c r="F17" i="13"/>
  <c r="E17" i="13"/>
  <c r="D17" i="13"/>
  <c r="C17" i="13"/>
  <c r="D21" i="13"/>
  <c r="E21" i="13" s="1"/>
  <c r="F21" i="13" s="1"/>
  <c r="G21" i="13" s="1"/>
  <c r="H21" i="13" s="1"/>
  <c r="I21" i="13" s="1"/>
  <c r="J21" i="13" s="1"/>
  <c r="K21" i="13" s="1"/>
  <c r="L21" i="13" s="1"/>
  <c r="M21" i="13" s="1"/>
  <c r="N21" i="13" s="1"/>
  <c r="O21" i="13" s="1"/>
  <c r="P21" i="13" s="1"/>
  <c r="Q21" i="13" s="1"/>
  <c r="R21" i="13" s="1"/>
  <c r="S21" i="13" s="1"/>
  <c r="T21" i="13" s="1"/>
  <c r="U21" i="13" s="1"/>
  <c r="V21" i="13" s="1"/>
  <c r="W21" i="13" s="1"/>
  <c r="X21" i="13" s="1"/>
  <c r="Y21" i="13" s="1"/>
  <c r="Z21" i="13" s="1"/>
  <c r="AA21" i="13" s="1"/>
  <c r="AA13" i="13"/>
  <c r="AA30" i="13" s="1"/>
  <c r="Z13" i="13"/>
  <c r="Z30" i="13" s="1"/>
  <c r="Y13" i="13"/>
  <c r="Y30" i="13" s="1"/>
  <c r="X13" i="13"/>
  <c r="W13" i="13"/>
  <c r="V13" i="13"/>
  <c r="U13" i="13"/>
  <c r="T13" i="13"/>
  <c r="T30" i="13" s="1"/>
  <c r="S13" i="13"/>
  <c r="S30" i="13" s="1"/>
  <c r="R13" i="13"/>
  <c r="R30" i="13" s="1"/>
  <c r="Q13" i="13"/>
  <c r="Q30" i="13" s="1"/>
  <c r="P13" i="13"/>
  <c r="O13" i="13"/>
  <c r="N13" i="13"/>
  <c r="M13" i="13"/>
  <c r="L13" i="13"/>
  <c r="L30" i="13" s="1"/>
  <c r="K13" i="13"/>
  <c r="K30" i="13" s="1"/>
  <c r="J13" i="13"/>
  <c r="J30" i="13" s="1"/>
  <c r="I13" i="13"/>
  <c r="I30" i="13" s="1"/>
  <c r="H13" i="13"/>
  <c r="G13" i="13"/>
  <c r="F13" i="13"/>
  <c r="E13" i="13"/>
  <c r="AA12" i="13"/>
  <c r="AA29" i="13" s="1"/>
  <c r="Z12" i="13"/>
  <c r="Z29" i="13" s="1"/>
  <c r="Y12" i="13"/>
  <c r="Y29" i="13" s="1"/>
  <c r="Y31" i="13" s="1"/>
  <c r="X12" i="13"/>
  <c r="W12" i="13"/>
  <c r="V12" i="13"/>
  <c r="U12" i="13"/>
  <c r="U29" i="13" s="1"/>
  <c r="U31" i="13" s="1"/>
  <c r="T12" i="13"/>
  <c r="S12" i="13"/>
  <c r="S14" i="13" s="1"/>
  <c r="R12" i="13"/>
  <c r="Q12" i="13"/>
  <c r="Q29" i="13" s="1"/>
  <c r="Q31" i="13" s="1"/>
  <c r="P12" i="13"/>
  <c r="O12" i="13"/>
  <c r="N12" i="13"/>
  <c r="M12" i="13"/>
  <c r="M29" i="13" s="1"/>
  <c r="M31" i="13" s="1"/>
  <c r="L12" i="13"/>
  <c r="L29" i="13" s="1"/>
  <c r="K12" i="13"/>
  <c r="J12" i="13"/>
  <c r="J29" i="13" s="1"/>
  <c r="I12" i="13"/>
  <c r="I29" i="13" s="1"/>
  <c r="I31" i="13" s="1"/>
  <c r="H12" i="13"/>
  <c r="G12" i="13"/>
  <c r="F12" i="13"/>
  <c r="E12" i="13"/>
  <c r="E29" i="13" s="1"/>
  <c r="E31" i="13" s="1"/>
  <c r="D13" i="13"/>
  <c r="D30" i="13" s="1"/>
  <c r="D12" i="13"/>
  <c r="D29" i="13" s="1"/>
  <c r="D31" i="13" s="1"/>
  <c r="C13" i="13"/>
  <c r="C30" i="13" s="1"/>
  <c r="C12" i="13"/>
  <c r="C14" i="13" s="1"/>
  <c r="AA7" i="13"/>
  <c r="AA24" i="13" s="1"/>
  <c r="Z7" i="13"/>
  <c r="Y7" i="13"/>
  <c r="X7" i="13"/>
  <c r="W7" i="13"/>
  <c r="V7" i="13"/>
  <c r="V24" i="13" s="1"/>
  <c r="U7" i="13"/>
  <c r="U24" i="13" s="1"/>
  <c r="T7" i="13"/>
  <c r="T24" i="13" s="1"/>
  <c r="T25" i="13" s="1"/>
  <c r="S7" i="13"/>
  <c r="S8" i="13" s="1"/>
  <c r="R7" i="13"/>
  <c r="Q7" i="13"/>
  <c r="P7" i="13"/>
  <c r="O7" i="13"/>
  <c r="N7" i="13"/>
  <c r="N24" i="13" s="1"/>
  <c r="M7" i="13"/>
  <c r="M24" i="13" s="1"/>
  <c r="L7" i="13"/>
  <c r="L24" i="13" s="1"/>
  <c r="K7" i="13"/>
  <c r="K24" i="13" s="1"/>
  <c r="J7" i="13"/>
  <c r="I7" i="13"/>
  <c r="H7" i="13"/>
  <c r="G7" i="13"/>
  <c r="F7" i="13"/>
  <c r="F24" i="13" s="1"/>
  <c r="E7" i="13"/>
  <c r="E24" i="13" s="1"/>
  <c r="AA6" i="13"/>
  <c r="AA8" i="13" s="1"/>
  <c r="Z6" i="13"/>
  <c r="Z8" i="13" s="1"/>
  <c r="Y6" i="13"/>
  <c r="X6" i="13"/>
  <c r="W6" i="13"/>
  <c r="V6" i="13"/>
  <c r="U6" i="13"/>
  <c r="U8" i="13" s="1"/>
  <c r="T6" i="13"/>
  <c r="T23" i="13" s="1"/>
  <c r="S6" i="13"/>
  <c r="R6" i="13"/>
  <c r="R8" i="13" s="1"/>
  <c r="Q6" i="13"/>
  <c r="P6" i="13"/>
  <c r="O6" i="13"/>
  <c r="N6" i="13"/>
  <c r="N23" i="13" s="1"/>
  <c r="M6" i="13"/>
  <c r="M8" i="13" s="1"/>
  <c r="L6" i="13"/>
  <c r="L8" i="13" s="1"/>
  <c r="K6" i="13"/>
  <c r="J6" i="13"/>
  <c r="J8" i="13" s="1"/>
  <c r="I6" i="13"/>
  <c r="H6" i="13"/>
  <c r="G6" i="13"/>
  <c r="F6" i="13"/>
  <c r="E6" i="13"/>
  <c r="E8" i="13" s="1"/>
  <c r="D7" i="13"/>
  <c r="D24" i="13" s="1"/>
  <c r="D6" i="13"/>
  <c r="D8" i="13" s="1"/>
  <c r="C7" i="13"/>
  <c r="C24" i="13" s="1"/>
  <c r="C6" i="13"/>
  <c r="C8"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AA4" i="13" s="1"/>
  <c r="D62" i="15" l="1"/>
  <c r="K49" i="15"/>
  <c r="Q55" i="15"/>
  <c r="Q56" i="15" s="1"/>
  <c r="L62" i="15"/>
  <c r="I56" i="15"/>
  <c r="C49" i="15"/>
  <c r="S49" i="15"/>
  <c r="S50" i="15" s="1"/>
  <c r="U62" i="15"/>
  <c r="U49" i="15"/>
  <c r="U56" i="15"/>
  <c r="X49" i="15"/>
  <c r="Y50" i="15" s="1"/>
  <c r="M56" i="15"/>
  <c r="E49" i="15"/>
  <c r="E50" i="15" s="1"/>
  <c r="O61" i="15"/>
  <c r="P62" i="15" s="1"/>
  <c r="AA56" i="15"/>
  <c r="AA49" i="15"/>
  <c r="Y56" i="15"/>
  <c r="X55" i="15"/>
  <c r="Q50" i="15"/>
  <c r="E62" i="15"/>
  <c r="J62" i="15"/>
  <c r="Z61" i="15"/>
  <c r="W61" i="15"/>
  <c r="W62" i="15" s="1"/>
  <c r="K55" i="15"/>
  <c r="K56" i="15" s="1"/>
  <c r="F62" i="15"/>
  <c r="C55" i="15"/>
  <c r="S55" i="15"/>
  <c r="S56" i="15" s="1"/>
  <c r="N49" i="15"/>
  <c r="N50" i="15" s="1"/>
  <c r="F50" i="15"/>
  <c r="N56" i="15"/>
  <c r="C61" i="15"/>
  <c r="G55" i="15"/>
  <c r="G56" i="15" s="1"/>
  <c r="I61" i="15"/>
  <c r="E55" i="15"/>
  <c r="E56" i="15" s="1"/>
  <c r="W55" i="15"/>
  <c r="W56" i="15" s="1"/>
  <c r="H49" i="15"/>
  <c r="H50" i="15" s="1"/>
  <c r="G49" i="15"/>
  <c r="G50" i="15" s="1"/>
  <c r="P49" i="15"/>
  <c r="P50" i="15" s="1"/>
  <c r="W49" i="15"/>
  <c r="D56" i="15"/>
  <c r="R49" i="15"/>
  <c r="R50" i="15" s="1"/>
  <c r="N61" i="15"/>
  <c r="N62" i="15" s="1"/>
  <c r="R56" i="15"/>
  <c r="T49" i="15"/>
  <c r="Z49" i="15"/>
  <c r="Z50" i="15" s="1"/>
  <c r="V62" i="15"/>
  <c r="J49" i="15"/>
  <c r="J50" i="15" s="1"/>
  <c r="K61" i="15"/>
  <c r="K62" i="15" s="1"/>
  <c r="T55" i="15"/>
  <c r="T56" i="15" s="1"/>
  <c r="H61" i="15"/>
  <c r="H62" i="15" s="1"/>
  <c r="R61" i="15"/>
  <c r="R62" i="15" s="1"/>
  <c r="M49" i="15"/>
  <c r="P55" i="15"/>
  <c r="P56" i="15" s="1"/>
  <c r="AA62" i="15"/>
  <c r="G61" i="15"/>
  <c r="G62" i="15" s="1"/>
  <c r="V49" i="15"/>
  <c r="V50" i="15" s="1"/>
  <c r="L49" i="15"/>
  <c r="L50" i="15" s="1"/>
  <c r="D49" i="15"/>
  <c r="X61" i="15"/>
  <c r="X62" i="15" s="1"/>
  <c r="Q61" i="15"/>
  <c r="Q62" i="15" s="1"/>
  <c r="Y61" i="15"/>
  <c r="Y62" i="15" s="1"/>
  <c r="V55" i="15"/>
  <c r="V56" i="15" s="1"/>
  <c r="V9" i="15"/>
  <c r="O33" i="15"/>
  <c r="R9" i="15"/>
  <c r="G43" i="15"/>
  <c r="J9" i="15"/>
  <c r="L33" i="15"/>
  <c r="K67" i="15"/>
  <c r="S67" i="15"/>
  <c r="AA33" i="15"/>
  <c r="F9" i="15"/>
  <c r="U9" i="15"/>
  <c r="M9" i="15"/>
  <c r="E9" i="15"/>
  <c r="X33" i="15"/>
  <c r="N9" i="15"/>
  <c r="V43" i="15"/>
  <c r="W67" i="15"/>
  <c r="W33" i="15"/>
  <c r="P67" i="15"/>
  <c r="J43" i="15"/>
  <c r="O9" i="15"/>
  <c r="S9" i="15"/>
  <c r="R33" i="15"/>
  <c r="K9" i="15"/>
  <c r="Z9" i="15"/>
  <c r="AA9" i="15"/>
  <c r="J33" i="15"/>
  <c r="J67" i="15"/>
  <c r="P43" i="15"/>
  <c r="T33" i="15"/>
  <c r="I43" i="15"/>
  <c r="C67" i="15"/>
  <c r="V67" i="15"/>
  <c r="W68" i="15" s="1"/>
  <c r="U43" i="15"/>
  <c r="H33" i="15"/>
  <c r="I67" i="15"/>
  <c r="N43" i="15"/>
  <c r="W43" i="15"/>
  <c r="S33" i="15"/>
  <c r="C43" i="15"/>
  <c r="AA67" i="15"/>
  <c r="Z33" i="15"/>
  <c r="Q67" i="15"/>
  <c r="Q68" i="15" s="1"/>
  <c r="R67" i="15"/>
  <c r="F67" i="15"/>
  <c r="R43" i="15"/>
  <c r="Y43" i="15"/>
  <c r="Q43" i="15"/>
  <c r="K43" i="15"/>
  <c r="E43" i="15"/>
  <c r="O67" i="15"/>
  <c r="P68" i="15" s="1"/>
  <c r="Z43" i="15"/>
  <c r="AA43" i="15"/>
  <c r="S43" i="15"/>
  <c r="T43" i="15"/>
  <c r="X43" i="15"/>
  <c r="F43" i="15"/>
  <c r="M43" i="15"/>
  <c r="Q25" i="13"/>
  <c r="Q34" i="13" s="1"/>
  <c r="AA31" i="13"/>
  <c r="N25" i="13"/>
  <c r="N34" i="13" s="1"/>
  <c r="L31" i="13"/>
  <c r="L34" i="13" s="1"/>
  <c r="L25" i="13"/>
  <c r="Z31" i="13"/>
  <c r="J31" i="13"/>
  <c r="F34" i="13"/>
  <c r="V8" i="13"/>
  <c r="R14" i="13"/>
  <c r="O8" i="13"/>
  <c r="O9" i="13" s="1"/>
  <c r="Z23" i="13"/>
  <c r="Z25" i="13" s="1"/>
  <c r="Z26" i="13" s="1"/>
  <c r="Y24" i="13"/>
  <c r="Y25" i="13" s="1"/>
  <c r="X29" i="13"/>
  <c r="W30" i="13"/>
  <c r="T14" i="13"/>
  <c r="K23" i="13"/>
  <c r="K25" i="13" s="1"/>
  <c r="R24" i="13"/>
  <c r="X67" i="15"/>
  <c r="D23" i="13"/>
  <c r="D25" i="13" s="1"/>
  <c r="L23" i="13"/>
  <c r="S24" i="13"/>
  <c r="R29" i="13"/>
  <c r="R31" i="13" s="1"/>
  <c r="D33" i="8"/>
  <c r="F34" i="8"/>
  <c r="D37" i="8"/>
  <c r="D51" i="8" s="1"/>
  <c r="F38" i="8"/>
  <c r="Y67" i="15"/>
  <c r="G67" i="15"/>
  <c r="J14" i="13"/>
  <c r="G36" i="8"/>
  <c r="W8" i="13"/>
  <c r="W9" i="13" s="1"/>
  <c r="K14" i="13"/>
  <c r="L15" i="13" s="1"/>
  <c r="R23" i="13"/>
  <c r="R25" i="13" s="1"/>
  <c r="Q24" i="13"/>
  <c r="H29" i="13"/>
  <c r="G30" i="13"/>
  <c r="G31" i="13" s="1"/>
  <c r="AA14" i="13"/>
  <c r="C23" i="13"/>
  <c r="C25" i="13" s="1"/>
  <c r="S23" i="13"/>
  <c r="S25" i="13" s="1"/>
  <c r="T26" i="13" s="1"/>
  <c r="J24" i="13"/>
  <c r="J25" i="13" s="1"/>
  <c r="K26" i="13" s="1"/>
  <c r="H30" i="13"/>
  <c r="P30" i="13"/>
  <c r="X30" i="13"/>
  <c r="E34" i="8"/>
  <c r="E38" i="8"/>
  <c r="O43" i="15"/>
  <c r="S9" i="13"/>
  <c r="E23" i="13"/>
  <c r="E25" i="13" s="1"/>
  <c r="M23" i="13"/>
  <c r="U23" i="13"/>
  <c r="C29" i="13"/>
  <c r="C31" i="13" s="1"/>
  <c r="K29" i="13"/>
  <c r="K31" i="13" s="1"/>
  <c r="S29" i="13"/>
  <c r="S31" i="13" s="1"/>
  <c r="E33" i="8"/>
  <c r="E47" i="8" s="1"/>
  <c r="G34" i="8"/>
  <c r="G48" i="8" s="1"/>
  <c r="G38" i="8"/>
  <c r="H43" i="15"/>
  <c r="H44" i="15" s="1"/>
  <c r="D67" i="15"/>
  <c r="N67" i="15"/>
  <c r="F8" i="13"/>
  <c r="Z14" i="13"/>
  <c r="O31" i="13"/>
  <c r="O34" i="13" s="1"/>
  <c r="L67" i="15"/>
  <c r="E9" i="13"/>
  <c r="K8" i="13"/>
  <c r="K9" i="13" s="1"/>
  <c r="T8" i="13"/>
  <c r="U9" i="13" s="1"/>
  <c r="G14" i="13"/>
  <c r="G15" i="13" s="1"/>
  <c r="O14" i="13"/>
  <c r="W14" i="13"/>
  <c r="F23" i="13"/>
  <c r="F25" i="13" s="1"/>
  <c r="V23" i="13"/>
  <c r="V25" i="13" s="1"/>
  <c r="V34" i="13" s="1"/>
  <c r="T29" i="13"/>
  <c r="T31" i="13" s="1"/>
  <c r="T34" i="13" s="1"/>
  <c r="F33" i="8"/>
  <c r="D36" i="8"/>
  <c r="H38" i="8"/>
  <c r="F33" i="15"/>
  <c r="N8" i="13"/>
  <c r="W31" i="13"/>
  <c r="W34" i="13" s="1"/>
  <c r="D9" i="15"/>
  <c r="T67" i="15"/>
  <c r="G8" i="13"/>
  <c r="G9" i="13" s="1"/>
  <c r="J23" i="13"/>
  <c r="I24" i="13"/>
  <c r="I25" i="13" s="1"/>
  <c r="P29" i="13"/>
  <c r="P31" i="13" s="1"/>
  <c r="P34" i="13" s="1"/>
  <c r="O30" i="13"/>
  <c r="L14" i="13"/>
  <c r="AA23" i="13"/>
  <c r="AA25" i="13" s="1"/>
  <c r="C37" i="8"/>
  <c r="U67" i="15"/>
  <c r="G23" i="13"/>
  <c r="G25" i="13" s="1"/>
  <c r="O23" i="13"/>
  <c r="O25" i="13" s="1"/>
  <c r="O26" i="13" s="1"/>
  <c r="W23" i="13"/>
  <c r="W25" i="13" s="1"/>
  <c r="G33" i="8"/>
  <c r="G37" i="8"/>
  <c r="H67" i="15"/>
  <c r="E67" i="15"/>
  <c r="U33" i="15"/>
  <c r="G33" i="15"/>
  <c r="V33" i="15"/>
  <c r="Z67" i="15"/>
  <c r="M67" i="15"/>
  <c r="D33" i="15"/>
  <c r="T9" i="15"/>
  <c r="G9" i="15"/>
  <c r="D43" i="15"/>
  <c r="W9" i="15"/>
  <c r="L43" i="15"/>
  <c r="L9" i="15"/>
  <c r="X9" i="15"/>
  <c r="P9" i="15"/>
  <c r="Q9" i="15"/>
  <c r="H9" i="15"/>
  <c r="I9" i="15"/>
  <c r="Q33" i="15"/>
  <c r="M33" i="15"/>
  <c r="N33" i="15"/>
  <c r="Y33" i="15"/>
  <c r="I33" i="15"/>
  <c r="E33" i="15"/>
  <c r="Y9" i="15"/>
  <c r="F36" i="8"/>
  <c r="C38" i="8"/>
  <c r="D34" i="8"/>
  <c r="D48" i="8" s="1"/>
  <c r="G35" i="8"/>
  <c r="D38" i="8"/>
  <c r="C36" i="8"/>
  <c r="E37" i="8"/>
  <c r="E51" i="8" s="1"/>
  <c r="F37" i="8"/>
  <c r="D35" i="8"/>
  <c r="H36" i="8"/>
  <c r="H23" i="8"/>
  <c r="H37" i="8" s="1"/>
  <c r="H19" i="8"/>
  <c r="H33" i="8" s="1"/>
  <c r="H20" i="8"/>
  <c r="H34" i="8" s="1"/>
  <c r="H21" i="8"/>
  <c r="H35" i="8" s="1"/>
  <c r="M9" i="13"/>
  <c r="Z32" i="13"/>
  <c r="P14" i="13"/>
  <c r="P15" i="13" s="1"/>
  <c r="X14" i="13"/>
  <c r="X15" i="13" s="1"/>
  <c r="I14" i="13"/>
  <c r="I15" i="13" s="1"/>
  <c r="Q14" i="13"/>
  <c r="Q15" i="13" s="1"/>
  <c r="Y14" i="13"/>
  <c r="Y15" i="13" s="1"/>
  <c r="E32" i="13"/>
  <c r="R32" i="13"/>
  <c r="H14" i="13"/>
  <c r="M25" i="13"/>
  <c r="M26" i="13" s="1"/>
  <c r="U25" i="13"/>
  <c r="U26" i="13" s="1"/>
  <c r="J32" i="13"/>
  <c r="F9" i="13"/>
  <c r="N9" i="13"/>
  <c r="V9" i="13"/>
  <c r="D14" i="13"/>
  <c r="D15" i="13" s="1"/>
  <c r="P32" i="13"/>
  <c r="W32" i="13"/>
  <c r="T15" i="13"/>
  <c r="H26" i="13"/>
  <c r="P26" i="13"/>
  <c r="X26" i="13"/>
  <c r="H8" i="13"/>
  <c r="X8" i="13"/>
  <c r="E14" i="13"/>
  <c r="E15" i="13" s="1"/>
  <c r="M14" i="13"/>
  <c r="M15" i="13" s="1"/>
  <c r="U14" i="13"/>
  <c r="U15" i="13" s="1"/>
  <c r="Q26" i="13"/>
  <c r="P8" i="13"/>
  <c r="I8" i="13"/>
  <c r="I9" i="13" s="1"/>
  <c r="Q8" i="13"/>
  <c r="Q9" i="13" s="1"/>
  <c r="Y8" i="13"/>
  <c r="Z9" i="13" s="1"/>
  <c r="F14" i="13"/>
  <c r="F15" i="13" s="1"/>
  <c r="N14" i="13"/>
  <c r="O15" i="13" s="1"/>
  <c r="V14" i="13"/>
  <c r="W15" i="13" s="1"/>
  <c r="D32" i="13"/>
  <c r="G26" i="13"/>
  <c r="F32" i="13"/>
  <c r="N32" i="13"/>
  <c r="V32" i="13"/>
  <c r="L26" i="13"/>
  <c r="O32" i="13"/>
  <c r="Q32" i="13"/>
  <c r="W26" i="13"/>
  <c r="V15" i="13"/>
  <c r="K15" i="13"/>
  <c r="S15" i="13"/>
  <c r="AA9" i="13"/>
  <c r="D9" i="13"/>
  <c r="T9" i="13"/>
  <c r="L9" i="13"/>
  <c r="D47" i="8"/>
  <c r="F49" i="8"/>
  <c r="G51" i="8"/>
  <c r="F48" i="8"/>
  <c r="C49" i="8"/>
  <c r="E50" i="8"/>
  <c r="C33" i="8"/>
  <c r="C47" i="8" s="1"/>
  <c r="C48" i="8"/>
  <c r="G50" i="8"/>
  <c r="D50" i="8"/>
  <c r="E48" i="8"/>
  <c r="O50" i="15" l="1"/>
  <c r="S62" i="15"/>
  <c r="H56" i="15"/>
  <c r="F56" i="15"/>
  <c r="L56" i="15"/>
  <c r="I50" i="15"/>
  <c r="I62" i="15"/>
  <c r="X56" i="15"/>
  <c r="X50" i="15"/>
  <c r="W50" i="15"/>
  <c r="AA50" i="15"/>
  <c r="U50" i="15"/>
  <c r="D50" i="15"/>
  <c r="M50" i="15"/>
  <c r="T50" i="15"/>
  <c r="Z62" i="15"/>
  <c r="K50" i="15"/>
  <c r="O62" i="15"/>
  <c r="T68" i="15"/>
  <c r="V44" i="15"/>
  <c r="L68" i="15"/>
  <c r="K68" i="15"/>
  <c r="S44" i="15"/>
  <c r="W44" i="15"/>
  <c r="P70" i="15"/>
  <c r="E68" i="15"/>
  <c r="J44" i="15"/>
  <c r="S70" i="15"/>
  <c r="X44" i="15"/>
  <c r="X68" i="15"/>
  <c r="O44" i="15"/>
  <c r="N44" i="15"/>
  <c r="F70" i="15"/>
  <c r="AA68" i="15"/>
  <c r="G68" i="15"/>
  <c r="Q44" i="15"/>
  <c r="N70" i="15"/>
  <c r="J68" i="15"/>
  <c r="E70" i="15"/>
  <c r="K44" i="15"/>
  <c r="F68" i="15"/>
  <c r="J70" i="15"/>
  <c r="I70" i="15"/>
  <c r="I68" i="15"/>
  <c r="C70" i="15"/>
  <c r="L44" i="15"/>
  <c r="T44" i="15"/>
  <c r="M70" i="15"/>
  <c r="D68" i="15"/>
  <c r="W70" i="15"/>
  <c r="R68" i="15"/>
  <c r="D44" i="15"/>
  <c r="V68" i="15"/>
  <c r="I44" i="15"/>
  <c r="K70" i="15"/>
  <c r="Z70" i="15"/>
  <c r="V70" i="15"/>
  <c r="F44" i="15"/>
  <c r="O68" i="15"/>
  <c r="S68" i="15"/>
  <c r="N68" i="15"/>
  <c r="Z44" i="15"/>
  <c r="R70" i="15"/>
  <c r="Y70" i="15"/>
  <c r="U44" i="15"/>
  <c r="Z68" i="15"/>
  <c r="AA70" i="15"/>
  <c r="Y44" i="15"/>
  <c r="U70" i="15"/>
  <c r="Q70" i="15"/>
  <c r="R44" i="15"/>
  <c r="G70" i="15"/>
  <c r="AA44" i="15"/>
  <c r="O70" i="15"/>
  <c r="G44" i="15"/>
  <c r="T70" i="15"/>
  <c r="M68" i="15"/>
  <c r="G34" i="13"/>
  <c r="G32" i="13"/>
  <c r="I26" i="13"/>
  <c r="I34" i="13"/>
  <c r="D34" i="13"/>
  <c r="D26" i="13"/>
  <c r="Y34" i="13"/>
  <c r="Y26" i="13"/>
  <c r="S26" i="13"/>
  <c r="R26" i="13"/>
  <c r="E26" i="13"/>
  <c r="E34" i="13"/>
  <c r="J34" i="13"/>
  <c r="T32" i="13"/>
  <c r="P9" i="13"/>
  <c r="H9" i="13"/>
  <c r="H15" i="13"/>
  <c r="E44" i="15"/>
  <c r="H68" i="15"/>
  <c r="S32" i="13"/>
  <c r="S34" i="13"/>
  <c r="AA15" i="13"/>
  <c r="X70" i="15"/>
  <c r="R9" i="13"/>
  <c r="H70" i="15"/>
  <c r="U68" i="15"/>
  <c r="Y68" i="15"/>
  <c r="K32" i="13"/>
  <c r="K34" i="13"/>
  <c r="R34" i="13"/>
  <c r="Z15" i="13"/>
  <c r="M34" i="13"/>
  <c r="Y9" i="13"/>
  <c r="U32" i="13"/>
  <c r="C34" i="13"/>
  <c r="H31" i="13"/>
  <c r="U34" i="13"/>
  <c r="Z34" i="13"/>
  <c r="AA32" i="13"/>
  <c r="AA34" i="13"/>
  <c r="R15" i="13"/>
  <c r="N15" i="13"/>
  <c r="M32" i="13"/>
  <c r="D70" i="15"/>
  <c r="X31" i="13"/>
  <c r="X9" i="13"/>
  <c r="L32" i="13"/>
  <c r="P44" i="15"/>
  <c r="M44" i="15"/>
  <c r="L70" i="15"/>
  <c r="N26" i="13"/>
  <c r="F26" i="13"/>
  <c r="J9" i="13"/>
  <c r="J26" i="13"/>
  <c r="J15" i="13"/>
  <c r="X32" i="13"/>
  <c r="AA26" i="13"/>
  <c r="V26" i="13"/>
  <c r="C51" i="8"/>
  <c r="F47" i="8"/>
  <c r="F51" i="8"/>
  <c r="G49" i="8"/>
  <c r="G52" i="8"/>
  <c r="D49" i="8"/>
  <c r="F50" i="8"/>
  <c r="D52" i="8"/>
  <c r="C50" i="8"/>
  <c r="G47" i="8"/>
  <c r="E49" i="8"/>
  <c r="H47" i="8"/>
  <c r="H51" i="8"/>
  <c r="H50" i="8"/>
  <c r="H48" i="8"/>
  <c r="H49" i="8"/>
  <c r="X34" i="13" l="1"/>
  <c r="Y32" i="13"/>
  <c r="H34" i="13"/>
  <c r="I32" i="13"/>
  <c r="H32" i="13"/>
  <c r="F52" i="8"/>
  <c r="E52" i="8"/>
  <c r="C52" i="8"/>
  <c r="H52" i="8" l="1"/>
</calcChain>
</file>

<file path=xl/sharedStrings.xml><?xml version="1.0" encoding="utf-8"?>
<sst xmlns="http://schemas.openxmlformats.org/spreadsheetml/2006/main" count="5467" uniqueCount="369">
  <si>
    <t>Distributions of household economic accounts, income, consumption and saving, by characteristic, annual (x 1,000,000)</t>
  </si>
  <si>
    <t>Frequency: Annual</t>
  </si>
  <si>
    <t>Table: 36-10-0587-01 (formerly CANSIM 378-0152)</t>
  </si>
  <si>
    <t>Release date: 2024-07-17</t>
  </si>
  <si>
    <t>Geography: Canada</t>
  </si>
  <si>
    <t>Geography</t>
  </si>
  <si>
    <t>Canada</t>
  </si>
  <si>
    <t>Statistics</t>
  </si>
  <si>
    <t>Value</t>
  </si>
  <si>
    <t>Characteristics</t>
  </si>
  <si>
    <t>All households</t>
  </si>
  <si>
    <t>Lowest income quintile 1</t>
  </si>
  <si>
    <t>Second income quintile 1</t>
  </si>
  <si>
    <t>Third income quintile 1</t>
  </si>
  <si>
    <t>Fourth income quintile 1</t>
  </si>
  <si>
    <t>Highest income quintile 1</t>
  </si>
  <si>
    <t>Income, consumption and savings</t>
  </si>
  <si>
    <t>Dollars</t>
  </si>
  <si>
    <t>Household disposable income</t>
  </si>
  <si>
    <t>Compensation of employees</t>
  </si>
  <si>
    <t>Net mixed income</t>
  </si>
  <si>
    <t>Property income received</t>
  </si>
  <si>
    <t>Less: property income paid</t>
  </si>
  <si>
    <t>Current transfers received</t>
  </si>
  <si>
    <t>Less: current transfers paid</t>
  </si>
  <si>
    <t>Household final consumption expenditure (HFCE)</t>
  </si>
  <si>
    <t>Food and non-alcoholic beverages</t>
  </si>
  <si>
    <t>Alcoholic beverages and tobacco</t>
  </si>
  <si>
    <t>Clothing and footwear</t>
  </si>
  <si>
    <t>Housing, water, electricity, gas and other fuels</t>
  </si>
  <si>
    <t>Furnishings, household equipment and other goods and services related to the dwelling and property</t>
  </si>
  <si>
    <t>Health</t>
  </si>
  <si>
    <t>Transport</t>
  </si>
  <si>
    <t>Communications</t>
  </si>
  <si>
    <t>Recreation and culture</t>
  </si>
  <si>
    <t>Education</t>
  </si>
  <si>
    <t>Food, beverage and accommodation services</t>
  </si>
  <si>
    <t>Insurance and financial services</t>
  </si>
  <si>
    <t>Miscellaneous goods and services</t>
  </si>
  <si>
    <t>Change in pension entitlements</t>
  </si>
  <si>
    <t>Household net saving</t>
  </si>
  <si>
    <t>Footnotes:</t>
  </si>
  <si>
    <t>Income quintiles are assigned based on equivalized household disposable income, which takes into account differences in household size and composition using a method proposed by the Organization for Economic Co-operation and Development (OECD). The OECD-modified" equivalence scale assigns a value of 1 to the first adult</t>
  </si>
  <si>
    <t xml:space="preserve"> 0.5 to each additional person aged 14 and over</t>
  </si>
  <si>
    <t xml:space="preserve"> and 0.3 for all children under 14."</t>
  </si>
  <si>
    <t>How to cite: Statistics Canada. Table 36-10-0587-01  Distributions of household economic accounts, income, consumption and saving, by characteristic, annual (x 1,000,000)</t>
  </si>
  <si>
    <t>https://www150.statcan.gc.ca/t1/tbl1/en/tv.action?pid=3610058701</t>
  </si>
  <si>
    <t>https://www150.statcan.gc.ca/t1/tbl1/en/cv!recreate.action?pid=3610058701&amp;selectedNodeIds=2D1,3D2,3D3,3D4,3D5,3D6,4D1,4D2,4D3,4D4,4D5,4D6,4D7,4D8,4D9,4D10,4D11,4D12,4D13,4D14,4D15,4D16,4D17,4D18,4D19,4D20,4D21,4D22,4D23&amp;checkedLevels=0D1,2D1&amp;refPeriods=19990101,20230101&amp;dimensionLayouts=layout2,layout2,layout2,layout3,layout2&amp;vectorDisplay=false</t>
  </si>
  <si>
    <t>Distributions of household economic accounts, number of households, by income quintile and by socio-demographic characteristic</t>
  </si>
  <si>
    <t>Table: 36-10-0101-01 (formerly CANSIM 378-0156)</t>
  </si>
  <si>
    <t>Socio-demographic characteristics</t>
  </si>
  <si>
    <t>Quintile</t>
  </si>
  <si>
    <t>Number</t>
  </si>
  <si>
    <t>All quintiles</t>
  </si>
  <si>
    <t>How to cite: Statistics Canada. Table 36-10-0101-01  Distributions of household economic accounts, number of households, by income quintile and by socio-demographic characteristic</t>
  </si>
  <si>
    <t>https://www150.statcan.gc.ca/t1/tbl1/en/tv.action?pid=3610010101</t>
  </si>
  <si>
    <t>Less than 35 years 1</t>
  </si>
  <si>
    <t>35 to 44 years 1</t>
  </si>
  <si>
    <t>45 to 54 years 1</t>
  </si>
  <si>
    <t>55 to 64 years 1</t>
  </si>
  <si>
    <t>65 years and over 1</t>
  </si>
  <si>
    <t>Age groups refer to the age group of the major income earner.</t>
  </si>
  <si>
    <t>Lowest quintile 2</t>
  </si>
  <si>
    <t>Second quintile 2</t>
  </si>
  <si>
    <t>Third quintile 2</t>
  </si>
  <si>
    <t>Fourth quintile 2</t>
  </si>
  <si>
    <t>Highest quintile 2</t>
  </si>
  <si>
    <t>Lowest income quintile, less than 35 years 1 2</t>
  </si>
  <si>
    <t>Lowest income quintile, 35 to 44 years 1 2</t>
  </si>
  <si>
    <t>Lowest income quintile, 45 to 54 years 1 2</t>
  </si>
  <si>
    <t>Lowest income quintile, 55 to 64 years 1 2</t>
  </si>
  <si>
    <t>Lowest income quintile, 65 years and over 1 2</t>
  </si>
  <si>
    <t>Second income quintile, less than 35 years 1 2</t>
  </si>
  <si>
    <t>Second income quintile, 35 to 44 years 1 2</t>
  </si>
  <si>
    <t>Second income quintile, 45 to 54 years 1 2</t>
  </si>
  <si>
    <t>Second income quintile, 55 to 64 years 1 2</t>
  </si>
  <si>
    <t>Second income quintile, 65 years and over 1 2</t>
  </si>
  <si>
    <t>Third income quintile, less than 35 years 1 2</t>
  </si>
  <si>
    <t>Third income quintile, 35 to 44 years 1 2</t>
  </si>
  <si>
    <t>Third income quintile, 45 to 54 years 1 2</t>
  </si>
  <si>
    <t>Third income quintile, 55 to 64 years 1 2</t>
  </si>
  <si>
    <t>Third income quintile, 65 years and over 1 2</t>
  </si>
  <si>
    <t>Fourth income quintile, less than 35 years 1 2</t>
  </si>
  <si>
    <t>Fourth income quintile, 35 to 44 years 1 2</t>
  </si>
  <si>
    <t>Fourth income quintile, 45 to 54 years 1 2</t>
  </si>
  <si>
    <t>Fourth income quintile, 55 to 64 years 1 2</t>
  </si>
  <si>
    <t>Fourth income quintile, 65 years and over 1 2</t>
  </si>
  <si>
    <t>Highest income quintile, less than 35 years 1 2</t>
  </si>
  <si>
    <t>Highest income quintile, 35 to 44 years 1 2</t>
  </si>
  <si>
    <t>Highest income quintile, 45 to 54 years 1 2</t>
  </si>
  <si>
    <t>Highest income quintile, 55 to 64 years 1 2</t>
  </si>
  <si>
    <t>Highest income quintile, 65 years and over 1 2</t>
  </si>
  <si>
    <t>..</t>
  </si>
  <si>
    <t>Symbol legend:</t>
  </si>
  <si>
    <t xml:space="preserve"> not available for a specific reference period</t>
  </si>
  <si>
    <t>https://www150.statcan.gc.ca/t1/tbl1/en/cv!recreate.action?pid=3610058701&amp;selectedNodeIds=2D1,3D17,3D18,3D19,3D20,3D21,3D22,3D23,3D24,3D25,3D26,3D27,3D28,3D29,3D30,3D31,3D32,3D33,3D34,3D35,3D36,3D37,3D38,3D39,3D40,3D41,3D42,3D43,3D44,3D45,3D46,4D1,4D2,4D3,4D4,4D5,4D6,4D7,4D8,4D9,4D10,4D11,4D12,4D13,4D14,4D15,4D16,4D17,4D18,4D19,4D20,4D21,4D22,4D23&amp;checkedLevels=0D1,2D1&amp;refPeriods=20230101,20230101&amp;dimensionLayouts=layout2,layout2,layout2,layout3,layout2&amp;vectorDisplay=false</t>
  </si>
  <si>
    <t>Age</t>
  </si>
  <si>
    <t>All</t>
  </si>
  <si>
    <t>Less than 35 years</t>
  </si>
  <si>
    <t>35 to 44 years</t>
  </si>
  <si>
    <t>45 to 54 years</t>
  </si>
  <si>
    <t>55 to 64 years</t>
  </si>
  <si>
    <t>65 years and over</t>
  </si>
  <si>
    <t>Age Group</t>
  </si>
  <si>
    <t>Delta</t>
  </si>
  <si>
    <t>Income Quintile</t>
  </si>
  <si>
    <t>Implied Savings Rate</t>
  </si>
  <si>
    <t>https://www150.statcan.gc.ca/n1/pub/13-607-x/2016001/950-eng.htm</t>
  </si>
  <si>
    <t>StatCan details on income mapping</t>
  </si>
  <si>
    <t>https://www150.statcan.gc.ca/n1/pub/13-607-x/2016001/956-eng.htm</t>
  </si>
  <si>
    <t>Households are grouped into age groups according to the age of the major income earner in the household as identified by the SPSD/M and SHS. This differs from the OECD definition of the reference person for a household, which requires applying a number of criteria to each household member. The age group categories used are: under 35, 35 to 44, 45 to 54, 55 to 64, and 65 and over.</t>
  </si>
  <si>
    <t>https://www150.statcan.gc.ca/n1/pub/13-607-x/2016001/940-eng.htm</t>
  </si>
  <si>
    <t>Estimating household distributions on a System of Macroeconomic Accounts basis</t>
  </si>
  <si>
    <t>To do:</t>
  </si>
  <si>
    <t>Key insight:</t>
  </si>
  <si>
    <t>~60% of Canadians are in a negative cash flow situation</t>
  </si>
  <si>
    <t>Distributions of household economic accounts, income, consumption and saving, by characteristic, annual</t>
  </si>
  <si>
    <t>Value per household</t>
  </si>
  <si>
    <t>Less than 35 years 2</t>
  </si>
  <si>
    <t>35 to 44 years 2</t>
  </si>
  <si>
    <t>45 to 54 years 2</t>
  </si>
  <si>
    <t>55 to 64 years 2</t>
  </si>
  <si>
    <t>65 years and over 2</t>
  </si>
  <si>
    <t>https://www150.statcan.gc.ca/t1/tbl1/en/cv!recreate.action?pid=3610058701&amp;selectedNodeIds=2D3,3D2,3D3,3D4,3D5,3D6,3D17,3D18,3D19,3D20,3D21,3D22,3D23,3D24,3D25,3D26,3D27,3D28,3D29,3D30,3D31,3D32,3D33,3D34,3D35,3D36,3D37,3D38,3D39,3D40,3D41,3D42,3D43,3D44,3D45,3D46,4D1,4D2,4D3,4D4,4D5,4D6,4D7,4D8,4D9,4D10,4D11,4D12,4D13,4D14,4D15,4D16,4D17,4D18,4D19,4D20,4D21,4D22,4D23&amp;checkedLevels=0D1,2D1&amp;refPeriods=20230101,20230101&amp;dimensionLayouts=layout2,layout2,layout2,layout3,layout2&amp;vectorDisplay=false</t>
  </si>
  <si>
    <t>https://www150.statcan.gc.ca/t1/tbl1/en/cv!recreate.action?pid=3610058701&amp;selectedNodeIds=2D3,3D22,3D42,4D1,4D2,4D3,4D4,4D5,4D6,4D7,4D8,4D9,4D10,4D11,4D12,4D13,4D14,4D15,4D16,4D17,4D18,4D19,4D20,4D21,4D22,4D23&amp;checkedLevels=0D1&amp;refPeriods=19990101,20230101&amp;dimensionLayouts=layout2,layout2,layout2,layout3,layout2&amp;vectorDisplay=false</t>
  </si>
  <si>
    <t>Consumer Price Index, annual average, not seasonally adjusted 1 2 3</t>
  </si>
  <si>
    <t>Table: 18-10-0005-01 (formerly CANSIM 326-0021)</t>
  </si>
  <si>
    <t>Release date: 2024-01-16</t>
  </si>
  <si>
    <t>Geography: Canada, Province or territory, Census subdivision, Census metropolitan area, Census metropolitan area part</t>
  </si>
  <si>
    <t>Products and product groups 4</t>
  </si>
  <si>
    <t>2002=100</t>
  </si>
  <si>
    <t>All-items</t>
  </si>
  <si>
    <t>Food 5</t>
  </si>
  <si>
    <t>Shelter 6</t>
  </si>
  <si>
    <t>Household operations, furnishings and equipment</t>
  </si>
  <si>
    <t>Transportation</t>
  </si>
  <si>
    <t>Gasoline</t>
  </si>
  <si>
    <t>Health and personal care</t>
  </si>
  <si>
    <t>Recreation, education and reading</t>
  </si>
  <si>
    <t>Alcoholic beverages, tobacco products and recreational cannabis</t>
  </si>
  <si>
    <t>All-items excluding food and energy 7</t>
  </si>
  <si>
    <t>All-items excluding energy 7</t>
  </si>
  <si>
    <t>Energy 7</t>
  </si>
  <si>
    <t>Goods 8</t>
  </si>
  <si>
    <t>Services 9</t>
  </si>
  <si>
    <t>The Consumer Price Index (CPI) is not a cost-of-living index. The objective behind a cost-of-living index is to measure changes in expenditures necessary for consumers to maintain a constant standard of living. The idea is that consumers would normally switch between products as the price relationship of goods changes. If, for example, consumers get the same satisfaction from drinking tea as they do from coffee, then it is possible to substitute tea for coffee if the price of tea falls relative to the price of coffee. The cheaper of the interchangeable products may be chosen. We could compute a cost-of-living index for an individual if we had complete information about that person's taste and spending habits. To do this for a large number of people, let alone the total population of Canada, is impossible. For this reason, regularly published price indexes are based on the fixed-basket concept rather than the cost-of-living concept.</t>
  </si>
  <si>
    <t>This table replaces table 18-10-0009-01 which was archived with the release of April 2007 data.</t>
  </si>
  <si>
    <t>From April 2020 to November 2021, and from January 2022 to February 2022, certain sub-indexes and components thereof were imputed using special approaches in either one, or more months. The affected indexes include child care services; housekeeping services; air transportation; personal care services; recreational services; travel tours; spectator entertainment; use of recreational facilities and services; beer served in licensed establishments; wine served in licensed establishments, and liquor served in licensed establishments. The details of these treatments from April 2020 to March 2021 are provided in technical supplements available through the &lt;a href=https://www150.statcan.gc.ca/n1/en/catalogue/62F0014M" rel="external noopener noreferrer" target="_blank"&gt;Prices Analytical Series (opens new window)&lt;/a&gt;. Starting in April 2021</t>
  </si>
  <si>
    <t xml:space="preserve"> details and treatments are available upon request by contacting the &lt;a href="mailto:statcan.cpddisseminationunit-dpcunitedediffusion.statcan@statcan.gc.ca" rel="external noopener noreferrer" target="_blank"&gt;Consumer Prices Division (opens new window)&lt;/a&gt;."</t>
  </si>
  <si>
    <t>The goods and services that make up the Consumer Price Index (CPI) are organized according to a hierarchical structure with the all-items CPI" as the top level. Eight major components of goods and services make up the "all-items CPI". They are: "food"</t>
  </si>
  <si>
    <t xml:space="preserve"> "shelter"</t>
  </si>
  <si>
    <t xml:space="preserve"> "household operations</t>
  </si>
  <si>
    <t xml:space="preserve"> furnishings and equipment"</t>
  </si>
  <si>
    <t xml:space="preserve"> "clothing and footwear"</t>
  </si>
  <si>
    <t xml:space="preserve"> "transportation"</t>
  </si>
  <si>
    <t xml:space="preserve"> "health and personal care"</t>
  </si>
  <si>
    <t xml:space="preserve"> "recreation</t>
  </si>
  <si>
    <t xml:space="preserve"> education and reading"</t>
  </si>
  <si>
    <t xml:space="preserve"> and "alcoholic beverages</t>
  </si>
  <si>
    <t xml:space="preserve"> tobacco products and recreational cannabis". These eight components are broken down into a varying number of sub-groups which are in turn broken down into other sub-groups. Indents are used to identify the components that make up each level of aggregation. For example</t>
  </si>
  <si>
    <t xml:space="preserve"> the eight major components appear with one indent relative to the "all-items CPI" to show that they are combined to obtain the "all-items CPI". NOTE: Some items are recombined outside the main structure of the CPI to obtain special aggregates such as "all-items excluding food and energy"</t>
  </si>
  <si>
    <t xml:space="preserve"> "energy"</t>
  </si>
  <si>
    <t xml:space="preserve"> "goods"</t>
  </si>
  <si>
    <t xml:space="preserve"> "services"</t>
  </si>
  <si>
    <t xml:space="preserve"> or "fresh fruit and vegetables". They are listed after the components of the main structure of the CPI following the last major component entitled "alcoholic beverages</t>
  </si>
  <si>
    <t xml:space="preserve"> tobacco products and recreational cannabis"."</t>
  </si>
  <si>
    <t>Food includes non-alcoholic beverages.</t>
  </si>
  <si>
    <t>Part of the increase first recorded in the shelter index for Yellowknife for December 2004 inadvertently reflected rent increases that actually occurred earlier. As a result, the change in the shelter index was overstated in December 2004, and was understated in the previous two years. The shelter index series for Yellowknife has been corrected from December 2002. In addition, the Yellowknife All-items consumer price index (CPI) and some Yellowknife special aggregate index series have also changed. Data for Canada and all other provinces and territories were not affected.</t>
  </si>
  <si>
    <t>The special aggregate energy" includes: "electricity"</t>
  </si>
  <si>
    <t xml:space="preserve"> "natural gas"</t>
  </si>
  <si>
    <t xml:space="preserve"> "fuel oil and other fuels"</t>
  </si>
  <si>
    <t xml:space="preserve"> "gasoline"</t>
  </si>
  <si>
    <t xml:space="preserve"> and "fuel</t>
  </si>
  <si>
    <t xml:space="preserve"> parts and accessories for recreational vehicles"."</t>
  </si>
  <si>
    <t>Goods are physical or tangible commodities usually classified according to their life span into non-durable goods, semi-durable goods and durable goods. Non-durable goods are those goods that can be used up entirely in less than a year, assuming normal usage. For example, fresh food products, disposable cameras and gasoline are non-durable goods. Semi-durable goods are those goods that may last less than 12 months or greater than 12 months depending on the purpose to which they are put. For example, clothing, footwear and household textiles are semi-durable goods. Durable goods are those goods which may be used repeatedly or continuously over more than a year, assuming normal usage. For example, cars, audio and video equipment and furniture are durable goods.</t>
  </si>
  <si>
    <t>A service in the Consumer Price Index (CPI) is characterized by valuable work performed by an individual or organization on behalf of a consumer, for example, car tune-ups, haircuts and city public transportation. Transactions classified as a service may include the cost of goods by their nature. Examples include food in restaurant food services and materials in clothing repair services.</t>
  </si>
  <si>
    <t>How to cite: Statistics Canada. Table 18-10-0005-01  Consumer Price Index, annual average, not seasonally adjusted</t>
  </si>
  <si>
    <t>https://www150.statcan.gc.ca/t1/tbl1/en/tv.action?pid=1810000501</t>
  </si>
  <si>
    <t>Income</t>
  </si>
  <si>
    <t>Spending</t>
  </si>
  <si>
    <t>Cash Flow</t>
  </si>
  <si>
    <t>Under 35 -- Lowest Quintile</t>
  </si>
  <si>
    <t>Under 35 -- Highest Quintile</t>
  </si>
  <si>
    <t>Y/Y Change</t>
  </si>
  <si>
    <t>Under 35 Age Group -- Per Household Values</t>
  </si>
  <si>
    <t>Current Prices</t>
  </si>
  <si>
    <t>CPI</t>
  </si>
  <si>
    <t>2023 Dollars</t>
  </si>
  <si>
    <t>For website:</t>
  </si>
  <si>
    <t>Put each chart in a separate H2 that be can navigated to easily / link shared indepdently</t>
  </si>
  <si>
    <t>- Key insight above chart, share exactly that section of the page</t>
  </si>
  <si>
    <t>Table of contents / back to top buttons</t>
  </si>
  <si>
    <t>Button to click to generate shareable link</t>
  </si>
  <si>
    <t>Need URI parameter functionality for the dynamic charts?</t>
  </si>
  <si>
    <t>Include waterfall chart that builds up to household income?</t>
  </si>
  <si>
    <t>Include pie chart for household expenditure?</t>
  </si>
  <si>
    <t>$ per Household, 2023</t>
  </si>
  <si>
    <t>Annual Household Income</t>
  </si>
  <si>
    <t>Annual Household Spending</t>
  </si>
  <si>
    <t>Annual Cash Flow (excl. pension entitlements)</t>
  </si>
  <si>
    <t>Annual cash flow as a % of annual income</t>
  </si>
  <si>
    <t>Household sector credit market summary table, seasonally adjusted estimates</t>
  </si>
  <si>
    <t>Frequency: Quarterly</t>
  </si>
  <si>
    <t>Table: 38-10-0238-01 (formerly CANSIM 378-0127)</t>
  </si>
  <si>
    <t>Release date: 2024-09-12</t>
  </si>
  <si>
    <t>Categories</t>
  </si>
  <si>
    <t>Q1 1999</t>
  </si>
  <si>
    <t>Q2 1999</t>
  </si>
  <si>
    <t>Q3 1999</t>
  </si>
  <si>
    <t>Q4 1999</t>
  </si>
  <si>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</si>
  <si>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</si>
  <si>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</si>
  <si>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</si>
  <si>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</si>
  <si>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</si>
  <si>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</si>
  <si>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</si>
  <si>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</si>
  <si>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</si>
  <si>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</si>
  <si>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</si>
  <si>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</si>
  <si>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</si>
  <si>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</si>
  <si>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</si>
  <si>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</si>
  <si>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</si>
  <si>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</si>
  <si>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</si>
  <si>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</si>
  <si>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</si>
  <si>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</si>
  <si>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</si>
  <si>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</si>
  <si>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</si>
  <si>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</si>
  <si>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</si>
  <si>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</si>
  <si>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</si>
  <si>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</si>
  <si>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</si>
  <si>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</si>
  <si>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</si>
  <si>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</si>
  <si>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</si>
  <si>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</si>
  <si>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</si>
  <si>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</si>
  <si>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</si>
  <si>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</si>
  <si>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</si>
  <si>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</si>
  <si>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</si>
  <si>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</si>
  <si>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</si>
  <si>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</si>
  <si>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</si>
  <si>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</si>
  <si>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</si>
  <si>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</si>
  <si>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</si>
  <si>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</si>
  <si>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</si>
  <si>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</si>
  <si>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</si>
  <si>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</si>
  <si>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</si>
  <si>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</si>
  <si>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</si>
  <si>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</si>
  <si>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</si>
  <si>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</si>
  <si>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</si>
  <si>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</si>
  <si>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</si>
  <si>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</si>
  <si>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</si>
  <si>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</si>
  <si>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</si>
  <si>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</si>
  <si>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</si>
  <si>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</si>
  <si>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</si>
  <si>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</si>
  <si>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</si>
  <si>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</si>
  <si>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</si>
  <si>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</si>
  <si>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</si>
  <si>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</si>
  <si>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</si>
  <si>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</si>
  <si>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</si>
  <si>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</si>
  <si>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</si>
  <si>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</si>
  <si>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</si>
  <si>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</si>
  <si>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</si>
  <si>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</si>
  <si>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</si>
  <si>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</si>
  <si>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</si>
  <si>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</si>
  <si>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</si>
  <si>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</si>
  <si>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</si>
  <si>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Ratio</t>
  </si>
  <si>
    <t>Credit market debt to disposable income 1</t>
  </si>
  <si>
    <t>Consumer credit and mortgage liabilities to disposable income 1</t>
  </si>
  <si>
    <t>Credit market debt - national balance sheet 1  (x 1,000,000)</t>
  </si>
  <si>
    <t>Consumer credit - national balance sheet 1  (x 1,000,000)</t>
  </si>
  <si>
    <t>Non-mortgage loans - national balance sheet 1  (x 1,000,000)</t>
  </si>
  <si>
    <t>Mortgages - national balance sheet 1  (x 1,000,000)</t>
  </si>
  <si>
    <t>Credit market debt - financial flow 1  (x 1,000,000)</t>
  </si>
  <si>
    <t>Consumer credit - financial flow 1  (x 1,000,000)</t>
  </si>
  <si>
    <t>Non-mortgage loans - financial flow 1  (x 1,000,000)</t>
  </si>
  <si>
    <t>Mortgages - financial flow 1  (x 1,000,000)</t>
  </si>
  <si>
    <t>Seasonally adjusted at quarterly rates.</t>
  </si>
  <si>
    <t>How to cite: Statistics Canada. Table 38-10-0238-01  Household sector credit market summary table, seasonally adjusted estimates</t>
  </si>
  <si>
    <t>https://www150.statcan.gc.ca/t1/tbl1/en/tv.action?pid=3810023801</t>
  </si>
  <si>
    <t>All Ages</t>
  </si>
  <si>
    <t>Current Prices, per HH</t>
  </si>
  <si>
    <t>2023 Dollars, per HH</t>
  </si>
  <si>
    <t>https://www150.statcan.gc.ca/t1/tbl1/en/cv!recreate.action?pid=3610058701&amp;selectedNodeIds=2D3,3D2,3D3,3D4,3D5,3D6,4D1,4D2,4D3,4D4,4D5,4D6,4D7,4D8,4D9,4D10,4D11,4D12,4D13,4D14,4D15,4D16,4D17,4D18,4D19,4D20,4D21,4D22,4D23&amp;checkedLevels=0D1&amp;refPeriods=19990101,20230101&amp;dimensionLayouts=layout2,layout2,layout2,layout3,layout2&amp;vectorDisplay=false</t>
  </si>
  <si>
    <t>Income / cash flow inequality is increasing over time -- gap between top 20% and bottom 20% is increasing over time (even adjusting for inflation)</t>
  </si>
  <si>
    <t>Consider showing this as an area chart instead -- with color fill between line and y=0 axis</t>
  </si>
  <si>
    <t>Add chart on net worth by quintile?</t>
  </si>
  <si>
    <t>Distributions of household economic accounts, wealth, by characteristic, Canada, quarterly</t>
  </si>
  <si>
    <t>Table: 36-10-0660-01</t>
  </si>
  <si>
    <t>Lowest wealth quintile 1 2</t>
  </si>
  <si>
    <t>Second wealth quintile 1 2</t>
  </si>
  <si>
    <t>Third wealth quintile 1 2</t>
  </si>
  <si>
    <t>Fourth wealth quintile 1 2</t>
  </si>
  <si>
    <t>Highest wealth quintile 1 2</t>
  </si>
  <si>
    <t>Wealth</t>
  </si>
  <si>
    <t>Total assets</t>
  </si>
  <si>
    <t>Financial assets</t>
  </si>
  <si>
    <t>Life insurance and pensions 3</t>
  </si>
  <si>
    <t>Other financial assets 4</t>
  </si>
  <si>
    <t>Non-financial assets</t>
  </si>
  <si>
    <t>Real estate</t>
  </si>
  <si>
    <t>Other non-financial assets 5</t>
  </si>
  <si>
    <t>Total liabilities</t>
  </si>
  <si>
    <t>Mortgage liabilities</t>
  </si>
  <si>
    <t>Other liabilities 6</t>
  </si>
  <si>
    <t>Net worth (wealth)</t>
  </si>
  <si>
    <t>The coefficients of variation from Statistics Canada's Survey of Financial Security for 2012, 2016 and 2019, which serve as indicators of the accuracy of these estimates for net worth and its components, are available in the appendix to Distributions of Household Economic Accounts, estimates of asset, liability and net worth distributions, 2010 to 2020, technical methodology and quality report for the August 2021 release.</t>
  </si>
  <si>
    <t>Wealth quintiles are assigned based on the household net worth.</t>
  </si>
  <si>
    <t>Life insurance and pensions include the value of all life insurance and employer pension plans, termination basis. Excludes public plans administered or sponsored by governments: Old Age Security (OAS) including the Guaranteed Income Supplement (GIS) and the Spouse's Allowance (SPA), as well as the Canada and Quebec Pension Plans (CPP/QPP).</t>
  </si>
  <si>
    <t>Other financial assets include total currency and deposits, Canadian short-term paper, Canadian bonds and debentures, foreign investments in paper and bonds, mortgages, equity and investment funds, and other receivables.</t>
  </si>
  <si>
    <t>Other non-financial assets include consumer durables, machinery and equipment, and intellectual property products. Excludes accumulation of value of collectibles including coins, stamps and art work.</t>
  </si>
  <si>
    <t>Other liabilities include major credit cards and retail store cards, gasoline station cards, etc., vehicle loans, lines of credit, student loans, other loans from financial institutions and other money owed.</t>
  </si>
  <si>
    <t>How to cite: Statistics Canada. Table 36-10-0660-01  Distributions of household economic accounts, wealth, by characteristic, Canada, quarterly (x 1,000,000)</t>
  </si>
  <si>
    <t>https://www150.statcan.gc.ca/t1/tbl1/en/tv.action?pid=3610066001</t>
  </si>
  <si>
    <t>https://www150.statcan.gc.ca/t1/tbl1/en/cv!recreate.action?pid=3610066001&amp;selectedNodeIds=2D3,3D53,3D54,3D55,3D56,3D57&amp;checkedLevels=0D1,2D1,3D1,3D2,3D3&amp;refPeriods=20100101,20241001&amp;dimensionLayouts=layout2,layout2,layout2,layout3,layout2&amp;vectorDisplay=false</t>
  </si>
  <si>
    <t>Quintile 1</t>
  </si>
  <si>
    <t>Quintile 2</t>
  </si>
  <si>
    <t>Quintile 3</t>
  </si>
  <si>
    <t>Quintile 4</t>
  </si>
  <si>
    <t>Quintile 5</t>
  </si>
  <si>
    <t>Annual Cash Flow by Year</t>
  </si>
  <si>
    <t>Bottom Canadians are paying for their expenses with student loans / LOC / gifts from parents / credit cards / spending down their savings? What else?</t>
  </si>
  <si>
    <t>Net Worth (Nominal)</t>
  </si>
  <si>
    <t>Net Worth (Real)</t>
  </si>
  <si>
    <t>$ Change</t>
  </si>
  <si>
    <t>% Change</t>
  </si>
  <si>
    <t>All Quintiles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</si>
</sst>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quot;#,##0_);\(&quot;$&quot;#,##0\);\-\-_)"/>
    <numFmt numFmtId="166" formatCode="#,##0%_);\(#,##0%\);\-\-_)"/>
    <numFmt numFmtId="167" formatCode="#,##0.000"/>
    <numFmt numFmtId="168" formatCode="#"/>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8000"/>
      <name val="Aptos Narrow"/>
      <family val="2"/>
      <scheme val="minor"/>
    </font>
    <font>
      <sz val="11"/>
      <color rgb="FF0000FF"/>
      <name val="Aptos Narrow"/>
      <family val="2"/>
      <scheme val="minor"/>
    </font>
    <font>
      <b/>
      <sz val="11"/>
      <color rgb="FF0000FF"/>
      <name val="Aptos Narrow"/>
      <family val="2"/>
      <scheme val="minor"/>
    </font>
    <font>
      <sz val="11"/>
      <name val="Aptos Narrow"/>
      <family val="2"/>
      <scheme val="minor"/>
    </font>
    <font>
      <i/>
      <sz val="11"/>
      <color theme="1"/>
      <name val="Aptos Narrow"/>
      <family val="2"/>
      <scheme val="minor"/>
    </font>
    <font>
      <b/>
      <u val="singleAccounting"/>
      <sz val="11"/>
      <color theme="1"/>
      <name val="Aptos Narrow"/>
      <family val="2"/>
      <scheme val="minor"/>
    </font>
    <font>
      <b/>
      <sz val="11"/>
      <name val="Aptos Narrow"/>
      <family val="2"/>
      <scheme val="minor"/>
    </font>
    <font>
      <b/>
      <sz val="14"/>
      <color theme="1"/>
      <name val="Aptos Narrow"/>
      <family val="2"/>
      <scheme val="minor"/>
    </font>
    <font>
      <b/>
      <sz val="11"/>
      <color rgb="FFFF0000"/>
      <name val="Aptos Narrow"/>
      <family val="2"/>
      <scheme val="minor"/>
    </font>
    <font>
      <b/>
      <u/>
      <sz val="11"/>
      <color theme="1"/>
      <name val="Aptos Narrow"/>
      <family val="2"/>
      <scheme val="minor"/>
    </font>
    <font>
      <b/>
      <sz val="11"/>
      <color rgb="FF00800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
      <patternFill patternType="solid">
        <fgColor theme="8"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6">
    <xf numFmtId="0" fontId="0" fillId="0" borderId="0" xfId="0"/>
    <xf numFmtId="3" fontId="0" fillId="0" borderId="0" xfId="0" applyNumberFormat="1"/>
    <xf numFmtId="0" fontId="18" fillId="0" borderId="0" xfId="42"/>
    <xf numFmtId="0" fontId="0" fillId="0" borderId="0" xfId="0" applyAlignment="1">
      <alignment horizontal="left"/>
    </xf>
    <xf numFmtId="0" fontId="20" fillId="33" borderId="0" xfId="0" applyFont="1" applyFill="1"/>
    <xf numFmtId="0" fontId="0" fillId="33" borderId="0" xfId="0" applyFill="1"/>
    <xf numFmtId="0" fontId="21" fillId="33" borderId="0" xfId="0" applyFont="1" applyFill="1"/>
    <xf numFmtId="0" fontId="16" fillId="0" borderId="0" xfId="0" applyFont="1"/>
    <xf numFmtId="0" fontId="16" fillId="34" borderId="0" xfId="0" applyFont="1" applyFill="1"/>
    <xf numFmtId="0" fontId="24" fillId="34" borderId="0" xfId="0" applyFont="1" applyFill="1" applyAlignment="1">
      <alignment horizontal="centerContinuous"/>
    </xf>
    <xf numFmtId="0" fontId="25" fillId="34" borderId="0" xfId="0" applyFont="1" applyFill="1" applyAlignment="1">
      <alignment horizontal="right" wrapText="1"/>
    </xf>
    <xf numFmtId="0" fontId="16" fillId="0" borderId="11" xfId="0" applyFont="1" applyBorder="1" applyAlignment="1">
      <alignment horizontal="left"/>
    </xf>
    <xf numFmtId="0" fontId="26" fillId="0" borderId="0" xfId="0" applyFont="1"/>
    <xf numFmtId="165" fontId="19" fillId="0" borderId="0" xfId="0" applyNumberFormat="1" applyFont="1"/>
    <xf numFmtId="165" fontId="19" fillId="0" borderId="10" xfId="0" applyNumberFormat="1" applyFont="1" applyBorder="1"/>
    <xf numFmtId="165" fontId="22" fillId="0" borderId="0" xfId="0" applyNumberFormat="1" applyFont="1"/>
    <xf numFmtId="165" fontId="22" fillId="0" borderId="10" xfId="0" applyNumberFormat="1" applyFont="1" applyBorder="1"/>
    <xf numFmtId="165" fontId="25" fillId="0" borderId="11" xfId="0" applyNumberFormat="1" applyFont="1" applyBorder="1"/>
    <xf numFmtId="165" fontId="25" fillId="0" borderId="12" xfId="0" applyNumberFormat="1" applyFont="1" applyBorder="1"/>
    <xf numFmtId="0" fontId="23" fillId="0" borderId="0" xfId="0" applyFont="1"/>
    <xf numFmtId="165" fontId="0" fillId="0" borderId="0" xfId="0" applyNumberFormat="1"/>
    <xf numFmtId="0" fontId="16" fillId="34" borderId="0" xfId="0" applyFont="1" applyFill="1" applyAlignment="1">
      <alignment horizontal="left" wrapText="1"/>
    </xf>
    <xf numFmtId="166" fontId="22" fillId="0" borderId="0" xfId="0" applyNumberFormat="1" applyFont="1"/>
    <xf numFmtId="166" fontId="22" fillId="0" borderId="10" xfId="0" applyNumberFormat="1" applyFont="1" applyBorder="1"/>
    <xf numFmtId="166" fontId="25" fillId="0" borderId="11" xfId="0" applyNumberFormat="1" applyFont="1" applyBorder="1"/>
    <xf numFmtId="166" fontId="25" fillId="0" borderId="12" xfId="0" applyNumberFormat="1" applyFont="1" applyBorder="1"/>
    <xf numFmtId="0" fontId="14" fillId="0" borderId="0" xfId="0" applyFont="1"/>
    <xf numFmtId="0" fontId="27" fillId="0" borderId="0" xfId="0" applyFont="1"/>
    <xf numFmtId="0" fontId="28" fillId="0" borderId="0" xfId="0" applyFont="1"/>
    <xf numFmtId="164" fontId="23" fillId="0" borderId="0" xfId="0" applyNumberFormat="1" applyFont="1"/>
    <xf numFmtId="0" fontId="19" fillId="0" borderId="0" xfId="0" applyFont="1"/>
    <xf numFmtId="165" fontId="16" fillId="0" borderId="0" xfId="0" applyNumberFormat="1" applyFont="1"/>
    <xf numFmtId="0" fontId="0" fillId="35" borderId="0" xfId="0" applyFill="1"/>
    <xf numFmtId="165" fontId="16" fillId="33" borderId="0" xfId="0" applyNumberFormat="1" applyFont="1" applyFill="1"/>
    <xf numFmtId="0" fontId="16" fillId="0" borderId="0" xfId="0" quotePrefix="1" applyFont="1"/>
    <xf numFmtId="0" fontId="20" fillId="33" borderId="0" xfId="0" applyFont="1" applyFill="1" applyAlignment="1">
      <alignment horizontal="center"/>
    </xf>
    <xf numFmtId="165" fontId="29" fillId="0" borderId="11" xfId="0" applyNumberFormat="1" applyFont="1" applyBorder="1"/>
    <xf numFmtId="165" fontId="29" fillId="0" borderId="12" xfId="0" applyNumberFormat="1" applyFont="1" applyBorder="1"/>
    <xf numFmtId="167" fontId="22" fillId="0" borderId="0" xfId="0" applyNumberFormat="1" applyFont="1"/>
    <xf numFmtId="167" fontId="22" fillId="0" borderId="10" xfId="0" applyNumberFormat="1" applyFont="1" applyBorder="1"/>
    <xf numFmtId="167" fontId="25" fillId="0" borderId="11" xfId="0" applyNumberFormat="1" applyFont="1" applyBorder="1"/>
    <xf numFmtId="167" fontId="25" fillId="0" borderId="12" xfId="0" applyNumberFormat="1" applyFont="1" applyBorder="1"/>
    <xf numFmtId="168" fontId="22" fillId="0" borderId="0" xfId="0" applyNumberFormat="1" applyFont="1"/>
    <xf numFmtId="168" fontId="22" fillId="0" borderId="10" xfId="0" applyNumberFormat="1" applyFont="1" applyBorder="1"/>
    <xf numFmtId="168" fontId="25" fillId="0" borderId="11" xfId="0" applyNumberFormat="1" applyFont="1" applyBorder="1"/>
    <xf numFmtId="168" fontId="25" fillId="0" borderId="12" xfId="0" applyNumberFormat="1" applyFont="1" applyBorder="1"/>
    <xf numFmtId="168" fontId="19" fillId="0" borderId="0" xfId="0" applyNumberFormat="1" applyFont="1"/>
    <xf numFmtId="168" fontId="19" fillId="0" borderId="10" xfId="0" applyNumberFormat="1" applyFont="1" applyBorder="1"/>
    <xf numFmtId="168" fontId="29" fillId="0" borderId="11" xfId="0" applyNumberFormat="1" applyFont="1" applyBorder="1"/>
    <xf numFmtId="168" fontId="29" fillId="0" borderId="12" xfId="0" applyNumberFormat="1" applyFont="1" applyBorder="1"/>
    <xf numFmtId="168" fontId="0" fillId="0" borderId="0" xfId="0" applyNumberFormat="1"/>
    <xf numFmtId="0" fontId="0" fillId="0" borderId="0" xfId="0" applyAlignment="1">
      <alignment horizontal="right"/>
    </xf>
    <xf numFmtId="165" fontId="19" fillId="0" borderId="0" xfId="0" applyNumberFormat="1" applyFont="1" applyAlignment="1">
      <alignment horizontal="right"/>
    </xf>
    <xf numFmtId="0" fontId="19" fillId="0" borderId="0" xfId="0" applyFont="1" applyAlignment="1">
      <alignment horizontal="right"/>
    </xf>
    <xf numFmtId="165" fontId="0" fillId="0" borderId="0" xfId="0" applyNumberFormat="1" applyAlignment="1">
      <alignment horizontal="right"/>
    </xf>
    <xf numFmtId="164" fontId="0" fillId="0" borderId="0" xfId="0" applyNumberForma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8F4"/>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 Drill Down'!$H$4</c:f>
              <c:strCache>
                <c:ptCount val="1"/>
                <c:pt idx="0">
                  <c:v>All</c:v>
                </c:pt>
              </c:strCache>
            </c:strRef>
          </c:tx>
          <c:spPr>
            <a:solidFill>
              <a:schemeClr val="accent1"/>
            </a:solidFill>
            <a:ln>
              <a:noFill/>
            </a:ln>
            <a:effectLst/>
          </c:spPr>
          <c:invertIfNegative val="0"/>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1-12D1-47A1-BE3B-C750633340B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Drill Down'!$B$5:$B$10</c:f>
              <c:strCache>
                <c:ptCount val="6"/>
                <c:pt idx="0">
                  <c:v>1</c:v>
                </c:pt>
                <c:pt idx="1">
                  <c:v>2</c:v>
                </c:pt>
                <c:pt idx="2">
                  <c:v>3</c:v>
                </c:pt>
                <c:pt idx="3">
                  <c:v>4</c:v>
                </c:pt>
                <c:pt idx="4">
                  <c:v>5</c:v>
                </c:pt>
                <c:pt idx="5">
                  <c:v>All</c:v>
                </c:pt>
              </c:strCache>
            </c:strRef>
          </c:cat>
          <c:val>
            <c:numRef>
              <c:f>'2023 Drill Down'!$H$5:$H$10</c:f>
              <c:numCache>
                <c:formatCode>"$"#,##0_);\("$"#,##0\);\-\-_)</c:formatCode>
                <c:ptCount val="6"/>
                <c:pt idx="0">
                  <c:v>31604</c:v>
                </c:pt>
                <c:pt idx="1">
                  <c:v>59447</c:v>
                </c:pt>
                <c:pt idx="2">
                  <c:v>78998</c:v>
                </c:pt>
                <c:pt idx="3">
                  <c:v>114315</c:v>
                </c:pt>
                <c:pt idx="4">
                  <c:v>197667</c:v>
                </c:pt>
                <c:pt idx="5">
                  <c:v>96406</c:v>
                </c:pt>
              </c:numCache>
            </c:numRef>
          </c:val>
          <c:extLst>
            <c:ext xmlns:c16="http://schemas.microsoft.com/office/drawing/2014/chart" uri="{C3380CC4-5D6E-409C-BE32-E72D297353CC}">
              <c16:uniqueId val="{00000000-12D1-47A1-BE3B-C750633340BF}"/>
            </c:ext>
          </c:extLst>
        </c:ser>
        <c:dLbls>
          <c:showLegendKey val="0"/>
          <c:showVal val="0"/>
          <c:showCatName val="0"/>
          <c:showSerName val="0"/>
          <c:showPercent val="0"/>
          <c:showBubbleSize val="0"/>
        </c:dLbls>
        <c:gapWidth val="219"/>
        <c:overlap val="-27"/>
        <c:axId val="691071384"/>
        <c:axId val="676873200"/>
      </c:barChart>
      <c:catAx>
        <c:axId val="69107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1"/>
                  <a:t>Income Quintile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73200"/>
        <c:crosses val="autoZero"/>
        <c:auto val="1"/>
        <c:lblAlgn val="ctr"/>
        <c:lblOffset val="100"/>
        <c:noMultiLvlLbl val="0"/>
      </c:catAx>
      <c:valAx>
        <c:axId val="67687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Avg. Household Income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_);\(&quot;$&quot;#,##0\);\-\-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71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 Drill Down'!$H$4</c:f>
              <c:strCache>
                <c:ptCount val="1"/>
                <c:pt idx="0">
                  <c:v>All</c:v>
                </c:pt>
              </c:strCache>
            </c:strRef>
          </c:tx>
          <c:spPr>
            <a:solidFill>
              <a:schemeClr val="accent1"/>
            </a:solidFill>
            <a:ln>
              <a:noFill/>
            </a:ln>
            <a:effectLst/>
          </c:spPr>
          <c:invertIfNegative val="0"/>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1-E6C3-4E5E-9A2E-F68C9AB90F6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Drill Down'!$B$19:$B$24</c:f>
              <c:strCache>
                <c:ptCount val="6"/>
                <c:pt idx="0">
                  <c:v>1</c:v>
                </c:pt>
                <c:pt idx="1">
                  <c:v>2</c:v>
                </c:pt>
                <c:pt idx="2">
                  <c:v>3</c:v>
                </c:pt>
                <c:pt idx="3">
                  <c:v>4</c:v>
                </c:pt>
                <c:pt idx="4">
                  <c:v>5</c:v>
                </c:pt>
                <c:pt idx="5">
                  <c:v>All</c:v>
                </c:pt>
              </c:strCache>
            </c:strRef>
          </c:cat>
          <c:val>
            <c:numRef>
              <c:f>'2023 Drill Down'!$H$19:$H$24</c:f>
              <c:numCache>
                <c:formatCode>"$"#,##0_);\("$"#,##0\);\-\-_)</c:formatCode>
                <c:ptCount val="6"/>
                <c:pt idx="0">
                  <c:v>61968</c:v>
                </c:pt>
                <c:pt idx="1">
                  <c:v>75118</c:v>
                </c:pt>
                <c:pt idx="2">
                  <c:v>91266</c:v>
                </c:pt>
                <c:pt idx="3">
                  <c:v>103168</c:v>
                </c:pt>
                <c:pt idx="4">
                  <c:v>137015</c:v>
                </c:pt>
                <c:pt idx="5">
                  <c:v>93707</c:v>
                </c:pt>
              </c:numCache>
            </c:numRef>
          </c:val>
          <c:extLst>
            <c:ext xmlns:c16="http://schemas.microsoft.com/office/drawing/2014/chart" uri="{C3380CC4-5D6E-409C-BE32-E72D297353CC}">
              <c16:uniqueId val="{00000000-E6C3-4E5E-9A2E-F68C9AB90F6B}"/>
            </c:ext>
          </c:extLst>
        </c:ser>
        <c:dLbls>
          <c:showLegendKey val="0"/>
          <c:showVal val="0"/>
          <c:showCatName val="0"/>
          <c:showSerName val="0"/>
          <c:showPercent val="0"/>
          <c:showBubbleSize val="0"/>
        </c:dLbls>
        <c:gapWidth val="219"/>
        <c:overlap val="-27"/>
        <c:axId val="691071384"/>
        <c:axId val="676873200"/>
      </c:barChart>
      <c:catAx>
        <c:axId val="69107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1"/>
                  <a:t>Income Quintile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73200"/>
        <c:crosses val="autoZero"/>
        <c:auto val="1"/>
        <c:lblAlgn val="ctr"/>
        <c:lblOffset val="100"/>
        <c:noMultiLvlLbl val="0"/>
      </c:catAx>
      <c:valAx>
        <c:axId val="67687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Avg. Household Spending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_);\(&quot;$&quot;#,##0\);\-\-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71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 Drill Down'!$H$4</c:f>
              <c:strCache>
                <c:ptCount val="1"/>
                <c:pt idx="0">
                  <c:v>All</c:v>
                </c:pt>
              </c:strCache>
            </c:strRef>
          </c:tx>
          <c:spPr>
            <a:solidFill>
              <a:schemeClr val="accent1"/>
            </a:solidFill>
            <a:ln>
              <a:noFill/>
            </a:ln>
            <a:effectLst/>
          </c:spPr>
          <c:invertIfNegative val="0"/>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1-896F-4B29-B2F4-835466E8306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Drill Down'!$B$33:$B$38</c:f>
              <c:strCache>
                <c:ptCount val="6"/>
                <c:pt idx="0">
                  <c:v>1</c:v>
                </c:pt>
                <c:pt idx="1">
                  <c:v>2</c:v>
                </c:pt>
                <c:pt idx="2">
                  <c:v>3</c:v>
                </c:pt>
                <c:pt idx="3">
                  <c:v>4</c:v>
                </c:pt>
                <c:pt idx="4">
                  <c:v>5</c:v>
                </c:pt>
                <c:pt idx="5">
                  <c:v>All</c:v>
                </c:pt>
              </c:strCache>
            </c:strRef>
          </c:cat>
          <c:val>
            <c:numRef>
              <c:f>'2023 Drill Down'!$H$33:$H$38</c:f>
              <c:numCache>
                <c:formatCode>"$"#,##0_);\("$"#,##0\);\-\-_)</c:formatCode>
                <c:ptCount val="6"/>
                <c:pt idx="0">
                  <c:v>-30364</c:v>
                </c:pt>
                <c:pt idx="1">
                  <c:v>-15671</c:v>
                </c:pt>
                <c:pt idx="2">
                  <c:v>-12268</c:v>
                </c:pt>
                <c:pt idx="3">
                  <c:v>11147</c:v>
                </c:pt>
                <c:pt idx="4">
                  <c:v>60652</c:v>
                </c:pt>
                <c:pt idx="5">
                  <c:v>2699</c:v>
                </c:pt>
              </c:numCache>
            </c:numRef>
          </c:val>
          <c:extLst>
            <c:ext xmlns:c16="http://schemas.microsoft.com/office/drawing/2014/chart" uri="{C3380CC4-5D6E-409C-BE32-E72D297353CC}">
              <c16:uniqueId val="{00000000-896F-4B29-B2F4-835466E83068}"/>
            </c:ext>
          </c:extLst>
        </c:ser>
        <c:dLbls>
          <c:showLegendKey val="0"/>
          <c:showVal val="0"/>
          <c:showCatName val="0"/>
          <c:showSerName val="0"/>
          <c:showPercent val="0"/>
          <c:showBubbleSize val="0"/>
        </c:dLbls>
        <c:gapWidth val="219"/>
        <c:overlap val="-27"/>
        <c:axId val="691071384"/>
        <c:axId val="676873200"/>
      </c:barChart>
      <c:catAx>
        <c:axId val="69107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1"/>
                  <a:t>Income Quintile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73200"/>
        <c:crosses val="autoZero"/>
        <c:auto val="1"/>
        <c:lblAlgn val="ctr"/>
        <c:lblOffset val="100"/>
        <c:noMultiLvlLbl val="0"/>
      </c:catAx>
      <c:valAx>
        <c:axId val="67687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Household Net Savings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_);\(&quot;$&quot;#,##0\);\-\-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71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'2023 Drill Down'!$H$4</c:f>
              <c:strCache>
                <c:ptCount val="1"/>
                <c:pt idx="0">
                  <c:v>All</c:v>
                </c:pt>
              </c:strCache>
            </c:strRef>
          </c:tx>
          <c:spPr>
            <a:solidFill>
              <a:schemeClr val="accent1"/>
            </a:solidFill>
            <a:ln>
              <a:noFill/>
            </a:ln>
            <a:effectLst/>
          </c:spPr>
          <c:invertIfNegative val="0"/>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1-6B6B-4563-9288-7D86445409A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'2023 Drill Down'!$B$47:$B$52</c:f>
              <c:strCache>
                <c:ptCount val="6"/>
                <c:pt idx="0">
                  <c:v>1</c:v>
                </c:pt>
                <c:pt idx="1">
                  <c:v>2</c:v>
                </c:pt>
                <c:pt idx="2">
                  <c:v>3</c:v>
                </c:pt>
                <c:pt idx="3">
                  <c:v>4</c:v>
                </c:pt>
                <c:pt idx="4">
                  <c:v>5</c:v>
                </c:pt>
                <c:pt idx="5">
                  <c:v>All</c:v>
                </c:pt>
              </c:strCache>
            </c:strRef>
          </c:cat>
          <c:val>
            <c:numRef>
              <c:f>'2023 Drill Down'!$H$47:$H$52</c:f>
              <c:numCache>
                <c:formatCode>#,##0%_);\(#,##0%\);\-\-_)</c:formatCode>
                <c:ptCount val="6"/>
                <c:pt idx="0">
                  <c:v>-0.96076446019491202</c:v>
                </c:pt>
                <c:pt idx="1">
                  <c:v>-0.26361296617154778</c:v>
                </c:pt>
                <c:pt idx="2">
                  <c:v>-0.1552950707612851</c:v>
                </c:pt>
                <c:pt idx="3">
                  <c:v>9.7511262738923146E-2</c:v>
                </c:pt>
                <c:pt idx="4">
                  <c:v>0.3068392802035747</c:v>
                </c:pt>
                <c:pt idx="5">
                  <c:v>2.7996182810198535E-2</c:v>
                </c:pt>
              </c:numCache>
            </c:numRef>
          </c:val>
          <c:extLst>
            <c:ext xmlns:c16="http://schemas.microsoft.com/office/drawing/2014/chart" uri="{C3380CC4-5D6E-409C-BE32-E72D297353CC}">
              <c16:uniqueId val="{00000002-6B6B-4563-9288-7D86445409A6}"/>
            </c:ext>
          </c:extLst>
        </c:ser>
        <c:dLbls>
          <c:showLegendKey val="0"/>
          <c:showVal val="0"/>
          <c:showCatName val="0"/>
          <c:showSerName val="0"/>
          <c:showPercent val="0"/>
          <c:showBubbleSize val="0"/>
        </c:dLbls>
        <c:gapWidth val="219"/>
        <c:overlap val="-27"/>
        <c:axId val="691071384"/>
        <c:axId val="676873200"/>
      </c:barChart>
      <c:catAx>
        <c:axId val="691071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b="1"/>
                  <a:t>Income Quintile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873200"/>
        <c:crosses val="autoZero"/>
        <c:auto val="1"/>
        <c:lblAlgn val="ctr"/>
        <c:lblOffset val="100"/>
        <c:noMultiLvlLbl val="0"/>
      </c:catAx>
      <c:valAx>
        <c:axId val="67687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CA" b="1"/>
                  <a:t>Household Savings Rate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_);\(#,##0%\);\-\-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71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CA" sz="1800" b="1"/>
              <a:t>Annual Cash Flow Per Household</a:t>
            </a:r>
          </a:p>
          <a:p>
            <a:pPr>
              <a:defRPr/>
            </a:pPr>
            <a:r>
              <a:rPr lang="en-CA"/>
              <a:t>By Income</a:t>
            </a:r>
            <a:r>
              <a:rPr lang="en-CA" baseline="0"/>
              <a:t> Quintile</a:t>
            </a:r>
            <a:endParaRPr lang="en-CA"/>
          </a:p>
          <a:p>
            <a:pPr>
              <a:defRPr/>
            </a:pPr>
            <a:r>
              <a:rPr lang="en-CA"/>
              <a:t>(inflatio</a:t>
            </a:r>
            <a:r>
              <a:rPr lang="en-CA" baseline="0"/>
              <a:t>n-adjusted 2023 $, all age groups)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v>Lowest Quintile</c:v>
          </c:tx>
          <c:spPr>
            <a:ln w="22225" cap="rnd">
              <a:solidFill>
                <a:schemeClr val="accent1">
                  <a:lumMod val="40000"/>
                  <a:lumOff val="60000"/>
                </a:schemeClr>
              </a:solidFill>
              <a:round/>
            </a:ln>
            <a:effectLst/>
          </c:spPr>
          <c:marker>
            <c:symbol val="circle"/>
            <c:size val="6"/>
            <c:spPr>
              <a:solidFill>
                <a:schemeClr val="accent1"/>
              </a:solidFill>
              <a:ln w="9525">
                <a:solidFill>
                  <a:schemeClr val="accent1"/>
                </a:solidFill>
              </a:ln>
              <a:effectLst/>
            </c:spPr>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16-4364-84D5-BB6185FACA49}"/>
                </c:ext>
              </c:extLst>
            </c:dLbl>
            <c:dLbl>
              <c:idx val="2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16-4364-84D5-BB6185FACA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'All Ages Over Time'!$C$4:$AA$4</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'All Ages Over Time'!$C$43:$AA$43</c:f>
              <c:numCache>
                <c:formatCode>"$"#,##0_);\("$"#,##0\);\-\-_)</c:formatCode>
                <c:ptCount val="25"/>
                <c:pt idx="0">
                  <c:v>-16144.603875134551</c:v>
                </c:pt>
                <c:pt idx="1">
                  <c:v>-18244.349056603773</c:v>
                </c:pt>
                <c:pt idx="2">
                  <c:v>-14648.209611451941</c:v>
                </c:pt>
                <c:pt idx="3">
                  <c:v>-17438.099999999999</c:v>
                </c:pt>
                <c:pt idx="4">
                  <c:v>-16788.916342412453</c:v>
                </c:pt>
                <c:pt idx="5">
                  <c:v>-19756.787965616048</c:v>
                </c:pt>
                <c:pt idx="6">
                  <c:v>-23384.408411214947</c:v>
                </c:pt>
                <c:pt idx="7">
                  <c:v>-25645.747021081577</c:v>
                </c:pt>
                <c:pt idx="8">
                  <c:v>-25830.621524663678</c:v>
                </c:pt>
                <c:pt idx="9">
                  <c:v>-27025.055214723929</c:v>
                </c:pt>
                <c:pt idx="10">
                  <c:v>-25064.590909090904</c:v>
                </c:pt>
                <c:pt idx="11">
                  <c:v>-26410.330472103007</c:v>
                </c:pt>
                <c:pt idx="12">
                  <c:v>-25087.520433694746</c:v>
                </c:pt>
                <c:pt idx="13">
                  <c:v>-25248.30649137223</c:v>
                </c:pt>
                <c:pt idx="14">
                  <c:v>-27896.763843648205</c:v>
                </c:pt>
                <c:pt idx="15">
                  <c:v>-29155.099840255589</c:v>
                </c:pt>
                <c:pt idx="16">
                  <c:v>-30231.202211690357</c:v>
                </c:pt>
                <c:pt idx="17">
                  <c:v>-30457.089563862926</c:v>
                </c:pt>
                <c:pt idx="18">
                  <c:v>-31469.394938650305</c:v>
                </c:pt>
                <c:pt idx="19">
                  <c:v>-31590.760869565216</c:v>
                </c:pt>
                <c:pt idx="20">
                  <c:v>-34628.998529411765</c:v>
                </c:pt>
                <c:pt idx="21">
                  <c:v>-19903.537956204374</c:v>
                </c:pt>
                <c:pt idx="22">
                  <c:v>-26618.242937853109</c:v>
                </c:pt>
                <c:pt idx="23">
                  <c:v>-29810.556216931214</c:v>
                </c:pt>
                <c:pt idx="24">
                  <c:v>-30364</c:v>
                </c:pt>
              </c:numCache>
            </c:numRef>
          </c:val>
          <c:smooth val="0"/>
          <c:extLst>
            <c:ext xmlns:c16="http://schemas.microsoft.com/office/drawing/2014/chart" uri="{C3380CC4-5D6E-409C-BE32-E72D297353CC}">
              <c16:uniqueId val="{00000000-9816-4364-84D5-BB6185FACA49}"/>
            </c:ext>
          </c:extLst>
        </c:ser>
        <c:ser>
          <c:idx val="2"/>
          <c:order val="1"/>
          <c:tx>
            <c:v>Quintile 2</c:v>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'All Ages Over Time'!$C$49:$AA$49</c:f>
              <c:numCache>
                <c:formatCode>"$"#,##0_);\("$"#,##0\);\-\-_)</c:formatCode>
                <c:ptCount val="25"/>
                <c:pt idx="0">
                  <c:v>-11264.188374596342</c:v>
                </c:pt>
                <c:pt idx="1">
                  <c:v>-11132.033542976933</c:v>
                </c:pt>
                <c:pt idx="2">
                  <c:v>-9215.5695296523481</c:v>
                </c:pt>
                <c:pt idx="3">
                  <c:v>-11015.851999999999</c:v>
                </c:pt>
                <c:pt idx="4">
                  <c:v>-12375.445525291827</c:v>
                </c:pt>
                <c:pt idx="5">
                  <c:v>-13774.38395415472</c:v>
                </c:pt>
                <c:pt idx="6">
                  <c:v>-14253.521495327106</c:v>
                </c:pt>
                <c:pt idx="7">
                  <c:v>-13647.972502291479</c:v>
                </c:pt>
                <c:pt idx="8">
                  <c:v>-14768.808968609868</c:v>
                </c:pt>
                <c:pt idx="9">
                  <c:v>-15559.921998247148</c:v>
                </c:pt>
                <c:pt idx="10">
                  <c:v>-13338.394230769234</c:v>
                </c:pt>
                <c:pt idx="11">
                  <c:v>-12735.213733905584</c:v>
                </c:pt>
                <c:pt idx="12">
                  <c:v>-14334.228523769802</c:v>
                </c:pt>
                <c:pt idx="13">
                  <c:v>-12601.56285949055</c:v>
                </c:pt>
                <c:pt idx="14">
                  <c:v>-12481.00651465798</c:v>
                </c:pt>
                <c:pt idx="15">
                  <c:v>-12960.750000000007</c:v>
                </c:pt>
                <c:pt idx="16">
                  <c:v>-13223.203791469197</c:v>
                </c:pt>
                <c:pt idx="17">
                  <c:v>-10782.883956386286</c:v>
                </c:pt>
                <c:pt idx="18">
                  <c:v>-12000.560582822094</c:v>
                </c:pt>
                <c:pt idx="19">
                  <c:v>-14415.750374812604</c:v>
                </c:pt>
                <c:pt idx="20">
                  <c:v>-16150.111029411768</c:v>
                </c:pt>
                <c:pt idx="21">
                  <c:v>-647.89416058393545</c:v>
                </c:pt>
                <c:pt idx="22">
                  <c:v>-8484.0656779661076</c:v>
                </c:pt>
                <c:pt idx="23">
                  <c:v>-13550.914021164026</c:v>
                </c:pt>
                <c:pt idx="24">
                  <c:v>-15671</c:v>
                </c:pt>
              </c:numCache>
            </c:numRef>
          </c:val>
          <c:smooth val="0"/>
          <c:extLst>
            <c:ext xmlns:c16="http://schemas.microsoft.com/office/drawing/2014/chart" uri="{C3380CC4-5D6E-409C-BE32-E72D297353CC}">
              <c16:uniqueId val="{00000000-1795-458E-A5FC-A496411C655F}"/>
            </c:ext>
          </c:extLst>
        </c:ser>
        <c:ser>
          <c:idx val="3"/>
          <c:order val="2"/>
          <c:tx>
            <c:v>Quintile 3</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'All Ages Over Time'!$C$55:$AA$55</c:f>
              <c:numCache>
                <c:formatCode>"$"#,##0_);\("$"#,##0\);\-\-_)</c:formatCode>
                <c:ptCount val="25"/>
                <c:pt idx="0">
                  <c:v>-7758.6092572658818</c:v>
                </c:pt>
                <c:pt idx="1">
                  <c:v>-8770.5932914046134</c:v>
                </c:pt>
                <c:pt idx="2">
                  <c:v>-9446.8824130879366</c:v>
                </c:pt>
                <c:pt idx="3">
                  <c:v>-10411.016999999993</c:v>
                </c:pt>
                <c:pt idx="4">
                  <c:v>-9916.5554474708188</c:v>
                </c:pt>
                <c:pt idx="5">
                  <c:v>-9787.6150907354313</c:v>
                </c:pt>
                <c:pt idx="6">
                  <c:v>-11061.601869158869</c:v>
                </c:pt>
                <c:pt idx="7">
                  <c:v>-9618.9550870760868</c:v>
                </c:pt>
                <c:pt idx="8">
                  <c:v>-10233.339013452918</c:v>
                </c:pt>
                <c:pt idx="9">
                  <c:v>-8013.3391761612584</c:v>
                </c:pt>
                <c:pt idx="10">
                  <c:v>-6678.1232517482567</c:v>
                </c:pt>
                <c:pt idx="11">
                  <c:v>-5903.7236051502259</c:v>
                </c:pt>
                <c:pt idx="12">
                  <c:v>-7385.9274395329558</c:v>
                </c:pt>
                <c:pt idx="13">
                  <c:v>-7796.9104354971205</c:v>
                </c:pt>
                <c:pt idx="14">
                  <c:v>-6515.5561889250821</c:v>
                </c:pt>
                <c:pt idx="15">
                  <c:v>-9343.1837060702819</c:v>
                </c:pt>
                <c:pt idx="16">
                  <c:v>-4874.3191153238586</c:v>
                </c:pt>
                <c:pt idx="17">
                  <c:v>-5404.2889408099727</c:v>
                </c:pt>
                <c:pt idx="18">
                  <c:v>-6400.8611963190197</c:v>
                </c:pt>
                <c:pt idx="19">
                  <c:v>-8616.9467766116868</c:v>
                </c:pt>
                <c:pt idx="20">
                  <c:v>-8596.6044117646961</c:v>
                </c:pt>
                <c:pt idx="21">
                  <c:v>2919.5372262773744</c:v>
                </c:pt>
                <c:pt idx="22">
                  <c:v>-4318.0310734463274</c:v>
                </c:pt>
                <c:pt idx="23">
                  <c:v>-11091.550925925927</c:v>
                </c:pt>
                <c:pt idx="24">
                  <c:v>-12268</c:v>
                </c:pt>
              </c:numCache>
            </c:numRef>
          </c:val>
          <c:smooth val="0"/>
          <c:extLst>
            <c:ext xmlns:c16="http://schemas.microsoft.com/office/drawing/2014/chart" uri="{C3380CC4-5D6E-409C-BE32-E72D297353CC}">
              <c16:uniqueId val="{00000001-1795-458E-A5FC-A496411C655F}"/>
            </c:ext>
          </c:extLst>
        </c:ser>
        <c:ser>
          <c:idx val="4"/>
          <c:order val="3"/>
          <c:tx>
            <c:v>Quintile 4</c:v>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'All Ages Over Time'!$C$61:$AA$61</c:f>
              <c:numCache>
                <c:formatCode>"$"#,##0_);\("$"#,##0\);\-\-_)</c:formatCode>
                <c:ptCount val="25"/>
                <c:pt idx="0">
                  <c:v>744.06889128095645</c:v>
                </c:pt>
                <c:pt idx="1">
                  <c:v>-1547.9454926624749</c:v>
                </c:pt>
                <c:pt idx="2">
                  <c:v>-795.138036809818</c:v>
                </c:pt>
                <c:pt idx="3">
                  <c:v>406.88899999999558</c:v>
                </c:pt>
                <c:pt idx="4">
                  <c:v>-4503.6352140077943</c:v>
                </c:pt>
                <c:pt idx="5">
                  <c:v>-624.19866284623276</c:v>
                </c:pt>
                <c:pt idx="6">
                  <c:v>-2733.8336448598129</c:v>
                </c:pt>
                <c:pt idx="7">
                  <c:v>-2305.3813015582127</c:v>
                </c:pt>
                <c:pt idx="8">
                  <c:v>-2672.8134529147937</c:v>
                </c:pt>
                <c:pt idx="9">
                  <c:v>-994.09465381245536</c:v>
                </c:pt>
                <c:pt idx="10">
                  <c:v>1565.5069930069876</c:v>
                </c:pt>
                <c:pt idx="11">
                  <c:v>2788.6935622317687</c:v>
                </c:pt>
                <c:pt idx="12">
                  <c:v>1720.3694745621324</c:v>
                </c:pt>
                <c:pt idx="13">
                  <c:v>3857.1470829909522</c:v>
                </c:pt>
                <c:pt idx="14">
                  <c:v>3275.048859934861</c:v>
                </c:pt>
                <c:pt idx="15">
                  <c:v>4168.420127795529</c:v>
                </c:pt>
                <c:pt idx="16">
                  <c:v>3509.3112164297054</c:v>
                </c:pt>
                <c:pt idx="17">
                  <c:v>945.78115264797816</c:v>
                </c:pt>
                <c:pt idx="18">
                  <c:v>1934.8358895705605</c:v>
                </c:pt>
                <c:pt idx="19">
                  <c:v>2046.7751124437782</c:v>
                </c:pt>
                <c:pt idx="20">
                  <c:v>4235.9242647058854</c:v>
                </c:pt>
                <c:pt idx="21">
                  <c:v>19350.821167883216</c:v>
                </c:pt>
                <c:pt idx="22">
                  <c:v>17756.959745762724</c:v>
                </c:pt>
                <c:pt idx="23">
                  <c:v>11318.057539682544</c:v>
                </c:pt>
                <c:pt idx="24">
                  <c:v>11147</c:v>
                </c:pt>
              </c:numCache>
            </c:numRef>
          </c:val>
          <c:smooth val="0"/>
          <c:extLst>
            <c:ext xmlns:c16="http://schemas.microsoft.com/office/drawing/2014/chart" uri="{C3380CC4-5D6E-409C-BE32-E72D297353CC}">
              <c16:uniqueId val="{00000002-1795-458E-A5FC-A496411C655F}"/>
            </c:ext>
          </c:extLst>
        </c:ser>
        <c:ser>
          <c:idx val="1"/>
          <c:order val="4"/>
          <c:tx>
            <c:v>Highest Quintile</c:v>
          </c:tx>
          <c:spPr>
            <a:ln w="22225" cap="rnd">
              <a:solidFill>
                <a:schemeClr val="accent5">
                  <a:lumMod val="60000"/>
                  <a:lumOff val="40000"/>
                </a:schemeClr>
              </a:solidFill>
              <a:round/>
            </a:ln>
            <a:effectLst/>
          </c:spPr>
          <c:marker>
            <c:symbol val="circle"/>
            <c:size val="7"/>
            <c:spPr>
              <a:solidFill>
                <a:srgbClr val="7030A0"/>
              </a:solidFill>
              <a:ln w="9525">
                <a:no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16-4364-84D5-BB6185FACA49}"/>
                </c:ext>
              </c:extLst>
            </c:dLbl>
            <c:dLbl>
              <c:idx val="24"/>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16-4364-84D5-BB6185FACA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'All Ages Over Time'!$C$4:$AA$4</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'All Ages Over Time'!$C$67:$AA$67</c:f>
              <c:numCache>
                <c:formatCode>"$"#,##0_);\("$"#,##0\);\-\-_)</c:formatCode>
                <c:ptCount val="25"/>
                <c:pt idx="0">
                  <c:v>29253.744886975226</c:v>
                </c:pt>
                <c:pt idx="1">
                  <c:v>33305.5293501048</c:v>
                </c:pt>
                <c:pt idx="2">
                  <c:v>34176.478527607367</c:v>
                </c:pt>
                <c:pt idx="3">
                  <c:v>32758.491999999998</c:v>
                </c:pt>
                <c:pt idx="4">
                  <c:v>32676.188715953293</c:v>
                </c:pt>
                <c:pt idx="5">
                  <c:v>33534.172874880605</c:v>
                </c:pt>
                <c:pt idx="6">
                  <c:v>33868.998130841122</c:v>
                </c:pt>
                <c:pt idx="7">
                  <c:v>40634.325389550853</c:v>
                </c:pt>
                <c:pt idx="8">
                  <c:v>39879.447533632279</c:v>
                </c:pt>
                <c:pt idx="9">
                  <c:v>43382.180543383001</c:v>
                </c:pt>
                <c:pt idx="10">
                  <c:v>45067.375874125893</c:v>
                </c:pt>
                <c:pt idx="11">
                  <c:v>42932.126180257532</c:v>
                </c:pt>
                <c:pt idx="12">
                  <c:v>42770.769808173471</c:v>
                </c:pt>
                <c:pt idx="13">
                  <c:v>43241.871815940831</c:v>
                </c:pt>
                <c:pt idx="14">
                  <c:v>47489.487785016303</c:v>
                </c:pt>
                <c:pt idx="15">
                  <c:v>45306.786741214048</c:v>
                </c:pt>
                <c:pt idx="16">
                  <c:v>48125.214849921031</c:v>
                </c:pt>
                <c:pt idx="17">
                  <c:v>37055.534267912764</c:v>
                </c:pt>
                <c:pt idx="18">
                  <c:v>40032.790644171764</c:v>
                </c:pt>
                <c:pt idx="19">
                  <c:v>38984.117691154417</c:v>
                </c:pt>
                <c:pt idx="20">
                  <c:v>47595.524264705862</c:v>
                </c:pt>
                <c:pt idx="21">
                  <c:v>57146.558394160587</c:v>
                </c:pt>
                <c:pt idx="22">
                  <c:v>59733.502824858762</c:v>
                </c:pt>
                <c:pt idx="23">
                  <c:v>56161.171957671962</c:v>
                </c:pt>
                <c:pt idx="24">
                  <c:v>60652</c:v>
                </c:pt>
              </c:numCache>
            </c:numRef>
          </c:val>
          <c:smooth val="0"/>
          <c:extLst>
            <c:ext xmlns:c16="http://schemas.microsoft.com/office/drawing/2014/chart" uri="{C3380CC4-5D6E-409C-BE32-E72D297353CC}">
              <c16:uniqueId val="{00000001-9816-4364-84D5-BB6185FACA49}"/>
            </c:ext>
          </c:extLst>
        </c:ser>
        <c:dLbls>
          <c:showLegendKey val="0"/>
          <c:showVal val="0"/>
          <c:showCatName val="0"/>
          <c:showSerName val="0"/>
          <c:showPercent val="0"/>
          <c:showBubbleSize val="0"/>
        </c:dLbls>
        <c:marker val="1"/>
        <c:smooth val="0"/>
        <c:axId val="695842368"/>
        <c:axId val="695843448"/>
      </c:lineChart>
      <c:catAx>
        <c:axId val="695842368"/>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843448"/>
        <c:crosses val="autoZero"/>
        <c:auto val="1"/>
        <c:lblAlgn val="ctr"/>
        <c:lblOffset val="100"/>
        <c:noMultiLvlLbl val="0"/>
      </c:catAx>
      <c:valAx>
        <c:axId val="695843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t>Annual Cash Flow</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quot;$&quot;#,##0_);\(&quot;$&quot;#,##0\);\-\-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842368"/>
        <c:crosses val="autoZero"/>
        <c:crossBetween val="between"/>
        <c:majorUnit val="1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CA" sz="1800" b="1"/>
              <a:t>Annual Cash Flow Per Household | Under-35 Age Group</a:t>
            </a:r>
          </a:p>
          <a:p>
            <a:pPr>
              <a:defRPr/>
            </a:pPr>
            <a:r>
              <a:rPr lang="en-CA"/>
              <a:t>Lowest income quintile vs. Highest income quintile</a:t>
            </a:r>
          </a:p>
          <a:p>
            <a:pPr>
              <a:defRPr/>
            </a:pPr>
            <a:r>
              <a:rPr lang="en-CA"/>
              <a:t>(inflatio</a:t>
            </a:r>
            <a:r>
              <a:rPr lang="en-CA" baseline="0"/>
              <a:t>n-adjusted 2023 $)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v>Lowest Quintile</c:v>
          </c:tx>
          <c:spPr>
            <a:ln w="28575" cap="rnd">
              <a:solidFill>
                <a:schemeClr val="accent1"/>
              </a:solidFill>
              <a:round/>
            </a:ln>
            <a:effectLst/>
          </c:spPr>
          <c:marker>
            <c:symbol val="none"/>
          </c:marker>
          <c:cat>
            <c:numRef>
              <c:f>'Under 35 Over Time'!$C$21:$AA$21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'Under 35 Over Time'!$C$25:$AA$25</c:f>
              <c:numCache>
                <c:formatCode>"$"#,##0_);\("$"#,##0\);\-\-_)</c:formatCode>
                <c:ptCount val="25"/>
                <c:pt idx="0">
                  <c:v>-12250.079655543592</c:v>
                </c:pt>
                <c:pt idx="1">
                  <c:v>-15568.37945492662</c:v>
                </c:pt>
                <c:pt idx="2">
                  <c:v>-13679.586912065439</c:v>
                </c:pt>
                <c:pt idx="3">
                  <c:v>-16208.007000000001</c:v>
                </c:pt>
                <c:pt idx="4">
                  <c:v>-16214.309338521398</c:v>
                </c:pt>
                <c:pt idx="5">
                  <c:v>-17513.574021012417</c:v>
                </c:pt>
                <c:pt idx="6">
                  <c:v>-21606.388785046725</c:v>
                </c:pt>
                <c:pt idx="7">
                  <c:v>-25022.242896425301</c:v>
                </c:pt>
                <c:pt idx="8">
                  <c:v>-26157.502242152463</c:v>
                </c:pt>
                <c:pt idx="9">
                  <c:v>-22499.308501314641</c:v>
                </c:pt>
                <c:pt idx="10">
                  <c:v>-23916.552447552443</c:v>
                </c:pt>
                <c:pt idx="11">
                  <c:v>-21934.666094420601</c:v>
                </c:pt>
                <c:pt idx="12">
                  <c:v>-22601.959966638864</c:v>
                </c:pt>
                <c:pt idx="13">
                  <c:v>-22955.70501232539</c:v>
                </c:pt>
                <c:pt idx="14">
                  <c:v>-26478.002442996742</c:v>
                </c:pt>
                <c:pt idx="15">
                  <c:v>-28787.445686900955</c:v>
                </c:pt>
                <c:pt idx="16">
                  <c:v>-24556.492101105847</c:v>
                </c:pt>
                <c:pt idx="17">
                  <c:v>-27837.532710280368</c:v>
                </c:pt>
                <c:pt idx="18">
                  <c:v>-28770.744631901842</c:v>
                </c:pt>
                <c:pt idx="19">
                  <c:v>-29708.858320839579</c:v>
                </c:pt>
                <c:pt idx="20">
                  <c:v>-36134.155147058831</c:v>
                </c:pt>
                <c:pt idx="21">
                  <c:v>-18631.830656934304</c:v>
                </c:pt>
                <c:pt idx="22">
                  <c:v>-27469.201271186445</c:v>
                </c:pt>
                <c:pt idx="23">
                  <c:v>-28909.724867724864</c:v>
                </c:pt>
                <c:pt idx="24">
                  <c:v>-30617</c:v>
                </c:pt>
              </c:numCache>
            </c:numRef>
          </c:val>
          <c:smooth val="0"/>
          <c:extLst>
            <c:ext xmlns:c16="http://schemas.microsoft.com/office/drawing/2014/chart" uri="{C3380CC4-5D6E-409C-BE32-E72D297353CC}">
              <c16:uniqueId val="{00000000-E9D5-4000-9882-994F0BAAE1A9}"/>
            </c:ext>
          </c:extLst>
        </c:ser>
        <c:ser>
          <c:idx val="1"/>
          <c:order val="1"/>
          <c:tx>
            <c:v>Highest Quintile</c:v>
          </c:tx>
          <c:spPr>
            <a:ln w="28575" cap="rnd">
              <a:solidFill>
                <a:schemeClr val="accent2"/>
              </a:solidFill>
              <a:round/>
            </a:ln>
            <a:effectLst/>
          </c:spPr>
          <c:marker>
            <c:symbol val="none"/>
          </c:marker>
          <c:cat>
            <c:numRef>
              <c:f>'Under 35 Over Time'!$C$21:$AA$21</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'Under 35 Over Time'!$C$31:$AA$31</c:f>
              <c:numCache>
                <c:formatCode>"$"#,##0_);\("$"#,##0\);\-\-_)</c:formatCode>
                <c:ptCount val="25"/>
                <c:pt idx="0">
                  <c:v>20945.53928955867</c:v>
                </c:pt>
                <c:pt idx="1">
                  <c:v>28986.102725366887</c:v>
                </c:pt>
                <c:pt idx="2">
                  <c:v>30703.572597137012</c:v>
                </c:pt>
                <c:pt idx="3">
                  <c:v>30515.103999999992</c:v>
                </c:pt>
                <c:pt idx="4">
                  <c:v>27634.623540856046</c:v>
                </c:pt>
                <c:pt idx="5">
                  <c:v>30584.234001910227</c:v>
                </c:pt>
                <c:pt idx="6">
                  <c:v>27417.620560747659</c:v>
                </c:pt>
                <c:pt idx="7">
                  <c:v>25963.978918423469</c:v>
                </c:pt>
                <c:pt idx="8">
                  <c:v>30359.046636771309</c:v>
                </c:pt>
                <c:pt idx="9">
                  <c:v>29825.593339176165</c:v>
                </c:pt>
                <c:pt idx="10">
                  <c:v>44501.596153846142</c:v>
                </c:pt>
                <c:pt idx="11">
                  <c:v>38607.493562231757</c:v>
                </c:pt>
                <c:pt idx="12">
                  <c:v>34592.135946622191</c:v>
                </c:pt>
                <c:pt idx="13">
                  <c:v>41373.969597370567</c:v>
                </c:pt>
                <c:pt idx="14">
                  <c:v>21982.486156351792</c:v>
                </c:pt>
                <c:pt idx="15">
                  <c:v>30862.872204472864</c:v>
                </c:pt>
                <c:pt idx="16">
                  <c:v>32931.436018957349</c:v>
                </c:pt>
                <c:pt idx="17">
                  <c:v>29990.928348909656</c:v>
                </c:pt>
                <c:pt idx="18">
                  <c:v>31257.358128834341</c:v>
                </c:pt>
                <c:pt idx="19">
                  <c:v>31064.346326836589</c:v>
                </c:pt>
                <c:pt idx="20">
                  <c:v>51067.896323529407</c:v>
                </c:pt>
                <c:pt idx="21">
                  <c:v>49385.589051094867</c:v>
                </c:pt>
                <c:pt idx="22">
                  <c:v>65513.80649717513</c:v>
                </c:pt>
                <c:pt idx="23">
                  <c:v>70450.830026455034</c:v>
                </c:pt>
                <c:pt idx="24">
                  <c:v>53499</c:v>
                </c:pt>
              </c:numCache>
            </c:numRef>
          </c:val>
          <c:smooth val="0"/>
          <c:extLst>
            <c:ext xmlns:c16="http://schemas.microsoft.com/office/drawing/2014/chart" uri="{C3380CC4-5D6E-409C-BE32-E72D297353CC}">
              <c16:uniqueId val="{00000001-E9D5-4000-9882-994F0BAAE1A9}"/>
            </c:ext>
          </c:extLst>
        </c:ser>
        <c:dLbls>
          <c:showLegendKey val="0"/>
          <c:showVal val="0"/>
          <c:showCatName val="0"/>
          <c:showSerName val="0"/>
          <c:showPercent val="0"/>
          <c:showBubbleSize val="0"/>
        </c:dLbls>
        <c:smooth val="0"/>
        <c:axId val="695842368"/>
        <c:axId val="695843448"/>
      </c:lineChart>
      <c:catAx>
        <c:axId val="695842368"/>
        <c:scaling>
          <c:orientation val="minMax"/>
        </c:scaling>
        <c:delete val="0"/>
        <c:axPos val="b"/>
        <c:numFmt formatCode="General" sourceLinked="1"/>
        <c:majorTickMark val="none"/>
        <c:minorTickMark val="none"/>
        <c:tickLblPos val="low"/>
        <c:spPr>
          <a:noFill/>
          <a:ln w="1905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843448"/>
        <c:crosses val="autoZero"/>
        <c:auto val="1"/>
        <c:lblAlgn val="ctr"/>
        <c:lblOffset val="100"/>
        <c:noMultiLvlLbl val="0"/>
      </c:catAx>
      <c:valAx>
        <c:axId val="695843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t>Annual Cash Flow</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quot;$&quot;#,##0_);\(&quot;$&quot;#,##0\);\-\-_)"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842368"/>
        <c:crosses val="autoZero"/>
        <c:crossBetween val="between"/>
        <c:majorUnit val="1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CA" sz="2000" b="1">
                <a:solidFill>
                  <a:sysClr val="windowText" lastClr="000000"/>
                </a:solidFill>
              </a:rPr>
              <a:t>Canadian Household</a:t>
            </a:r>
            <a:r>
              <a:rPr lang="en-CA" sz="2000" b="1" baseline="0">
                <a:solidFill>
                  <a:sysClr val="windowText" lastClr="000000"/>
                </a:solidFill>
              </a:rPr>
              <a:t> Net Worth by Quintile</a:t>
            </a:r>
          </a:p>
          <a:p>
            <a:pPr>
              <a:defRPr>
                <a:solidFill>
                  <a:sysClr val="windowText" lastClr="000000"/>
                </a:solidFill>
              </a:defRPr>
            </a:pPr>
            <a:r>
              <a:rPr lang="en-CA" sz="1600" b="0" baseline="0">
                <a:solidFill>
                  <a:sysClr val="windowText" lastClr="000000"/>
                </a:solidFill>
              </a:rPr>
              <a:t>2010 vs. 2023, inflation-adjusted $</a:t>
            </a:r>
            <a:endParaRPr lang="en-CA" sz="16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'Net Worth'!$B$14</c:f>
              <c:strCache>
                <c:ptCount val="1"/>
                <c:pt idx="0">
                  <c:v>Q4 2010</c:v>
                </c:pt>
              </c:strCache>
            </c:strRef>
          </c:tx>
          <c:spPr>
            <a:solidFill>
              <a:schemeClr val="accent4">
                <a:lumMod val="60000"/>
                <a:lumOff val="40000"/>
              </a:schemeClr>
            </a:solidFill>
            <a:ln>
              <a:solidFill>
                <a:schemeClr val="bg1"/>
              </a:solidFill>
            </a:ln>
            <a:effectLst/>
          </c:spPr>
          <c:invertIfNegative val="0"/>
          <c:dLbls>
            <c:dLbl>
              <c:idx val="0"/>
              <c:layout>
                <c:manualLayout>
                  <c:x val="-1.3056713779371332E-2"/>
                  <c:y val="-9.12499296594932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39-40AB-8EB0-EC011EF482CB}"/>
                </c:ext>
              </c:extLst>
            </c:dLbl>
            <c:dLbl>
              <c:idx val="1"/>
              <c:layout>
                <c:manualLayout>
                  <c:x val="-1.2973341876005937E-2"/>
                  <c:y val="5.565860675989016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39-40AB-8EB0-EC011EF482CB}"/>
                </c:ext>
              </c:extLst>
            </c:dLbl>
            <c:dLbl>
              <c:idx val="2"/>
              <c:layout>
                <c:manualLayout>
                  <c:x val="-1.0778555466400955E-2"/>
                  <c:y val="2.93829235450139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39-40AB-8EB0-EC011EF482CB}"/>
                </c:ext>
              </c:extLst>
            </c:dLbl>
            <c:dLbl>
              <c:idx val="3"/>
              <c:layout>
                <c:manualLayout>
                  <c:x val="-1.083423433783463E-2"/>
                  <c:y val="2.93829465542711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39-40AB-8EB0-EC011EF482CB}"/>
                </c:ext>
              </c:extLst>
            </c:dLbl>
            <c:dLbl>
              <c:idx val="4"/>
              <c:layout>
                <c:manualLayout>
                  <c:x val="-1.9501621808102415E-2"/>
                  <c:y val="5.87658931085422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39-40AB-8EB0-EC011EF482CB}"/>
                </c:ext>
              </c:extLst>
            </c:dLbl>
            <c:dLbl>
              <c:idx val="5"/>
              <c:layout>
                <c:manualLayout>
                  <c:x val="-1.300108120540155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39-40AB-8EB0-EC011EF482C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'Net Worth'!$C$13:$H$13</c:f>
              <c:strCache>
                <c:ptCount val="6"/>
                <c:pt idx="0">
                  <c:v>Quintile 1</c:v>
                </c:pt>
                <c:pt idx="1">
                  <c:v>Quintile 2</c:v>
                </c:pt>
                <c:pt idx="2">
                  <c:v>Quintile 3</c:v>
                </c:pt>
                <c:pt idx="3">
                  <c:v>Quintile 4</c:v>
                </c:pt>
                <c:pt idx="4">
                  <c:v>Quintile 5</c:v>
                </c:pt>
                <c:pt idx="5">
                  <c:v>All Quintiles</c:v>
                </c:pt>
              </c:strCache>
            </c:strRef>
          </c:cat>
          <c:val>
            <c:numRef>
              <c:f>'Net Worth'!$C$14:$H$14</c:f>
              <c:numCache>
                <c:formatCode>"$"#,##0_);\("$"#,##0\);\-\-_)</c:formatCode>
                <c:ptCount val="6"/>
                <c:pt idx="0">
                  <c:v>-16149.610300429184</c:v>
                </c:pt>
                <c:pt idx="1">
                  <c:v>67265.769957081546</c:v>
                </c:pt>
                <c:pt idx="2">
                  <c:v>295805.14077253215</c:v>
                </c:pt>
                <c:pt idx="3">
                  <c:v>715514.30987124459</c:v>
                </c:pt>
                <c:pt idx="4">
                  <c:v>2358135.7278969958</c:v>
                </c:pt>
                <c:pt idx="5">
                  <c:v>684114.53733905579</c:v>
                </c:pt>
              </c:numCache>
            </c:numRef>
          </c:val>
          <c:extLst>
            <c:ext xmlns:c16="http://schemas.microsoft.com/office/drawing/2014/chart" uri="{C3380CC4-5D6E-409C-BE32-E72D297353CC}">
              <c16:uniqueId val="{00000000-FD39-40AB-8EB0-EC011EF482CB}"/>
            </c:ext>
          </c:extLst>
        </c:ser>
        <c:ser>
          <c:idx val="1"/>
          <c:order val="1"/>
          <c:tx>
            <c:strRef>
              <c:f>'Net Worth'!$B$15</c:f>
              <c:strCache>
                <c:ptCount val="1"/>
                <c:pt idx="0">
                  <c:v>Q4 2023</c:v>
                </c:pt>
              </c:strCache>
            </c:strRef>
          </c:tx>
          <c:spPr>
            <a:solidFill>
              <a:schemeClr val="accent5">
                <a:lumMod val="75000"/>
              </a:schemeClr>
            </a:solidFill>
            <a:ln>
              <a:solidFill>
                <a:schemeClr val="bg1"/>
              </a:solidFill>
            </a:ln>
            <a:effectLst/>
          </c:spPr>
          <c:invertIfNegative val="0"/>
          <c:dLbls>
            <c:dLbl>
              <c:idx val="0"/>
              <c:layout>
                <c:manualLayout>
                  <c:x val="1.283422027564267E-2"/>
                  <c:y val="2.78307031829324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D39-40AB-8EB0-EC011EF482CB}"/>
                </c:ext>
              </c:extLst>
            </c:dLbl>
            <c:dLbl>
              <c:idx val="4"/>
              <c:layout>
                <c:manualLayout>
                  <c:x val="0"/>
                  <c:y val="7.49999852362233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D39-40AB-8EB0-EC011EF482C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Worth'!$C$13:$H$13</c:f>
              <c:strCache>
                <c:ptCount val="6"/>
                <c:pt idx="0">
                  <c:v>Quintile 1</c:v>
                </c:pt>
                <c:pt idx="1">
                  <c:v>Quintile 2</c:v>
                </c:pt>
                <c:pt idx="2">
                  <c:v>Quintile 3</c:v>
                </c:pt>
                <c:pt idx="3">
                  <c:v>Quintile 4</c:v>
                </c:pt>
                <c:pt idx="4">
                  <c:v>Quintile 5</c:v>
                </c:pt>
                <c:pt idx="5">
                  <c:v>All Quintiles</c:v>
                </c:pt>
              </c:strCache>
            </c:strRef>
          </c:cat>
          <c:val>
            <c:numRef>
              <c:f>'Net Worth'!$C$15:$H$15</c:f>
              <c:numCache>
                <c:formatCode>"$"#,##0_);\("$"#,##0\);\-\-_)</c:formatCode>
                <c:ptCount val="6"/>
                <c:pt idx="0">
                  <c:v>-1141</c:v>
                </c:pt>
                <c:pt idx="1">
                  <c:v>135497</c:v>
                </c:pt>
                <c:pt idx="2">
                  <c:v>454074</c:v>
                </c:pt>
                <c:pt idx="3">
                  <c:v>996641</c:v>
                </c:pt>
                <c:pt idx="4">
                  <c:v>3311107</c:v>
                </c:pt>
                <c:pt idx="5">
                  <c:v>979236</c:v>
                </c:pt>
              </c:numCache>
            </c:numRef>
          </c:val>
          <c:extLst>
            <c:ext xmlns:c16="http://schemas.microsoft.com/office/drawing/2014/chart" uri="{C3380CC4-5D6E-409C-BE32-E72D297353CC}">
              <c16:uniqueId val="{00000001-FD39-40AB-8EB0-EC011EF482CB}"/>
            </c:ext>
          </c:extLst>
        </c:ser>
        <c:dLbls>
          <c:showLegendKey val="0"/>
          <c:showVal val="0"/>
          <c:showCatName val="0"/>
          <c:showSerName val="0"/>
          <c:showPercent val="0"/>
          <c:showBubbleSize val="0"/>
        </c:dLbls>
        <c:gapWidth val="75"/>
        <c:axId val="538139920"/>
        <c:axId val="538138480"/>
      </c:barChart>
      <c:catAx>
        <c:axId val="538139920"/>
        <c:scaling>
          <c:orientation val="minMax"/>
        </c:scaling>
        <c:delete val="0"/>
        <c:axPos val="b"/>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538138480"/>
        <c:crosses val="autoZero"/>
        <c:auto val="1"/>
        <c:lblAlgn val="ctr"/>
        <c:lblOffset val="100"/>
        <c:noMultiLvlLbl val="0"/>
      </c:catAx>
      <c:valAx>
        <c:axId val="538138480"/>
        <c:scaling>
          <c:orientation val="minMax"/>
        </c:scaling>
        <c:delete val="0"/>
        <c:axPos val="l"/>
        <c:majorGridlines>
          <c:spPr>
            <a:ln w="9525" cap="flat" cmpd="sng" algn="ctr">
              <a:solidFill>
                <a:schemeClr val="bg1">
                  <a:lumMod val="85000"/>
                </a:schemeClr>
              </a:solidFill>
              <a:prstDash val="sysDash"/>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CA" sz="1200" b="1">
                    <a:solidFill>
                      <a:sysClr val="windowText" lastClr="000000"/>
                    </a:solidFill>
                  </a:rPr>
                  <a:t>Avg. net worth per household</a:t>
                </a:r>
              </a:p>
            </c:rich>
          </c:tx>
          <c:layout>
            <c:manualLayout>
              <c:xMode val="edge"/>
              <c:yMode val="edge"/>
              <c:x val="1.069518356303556E-2"/>
              <c:y val="0.39622610310509776"/>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quot;$&quot;#,##0_);\(&quot;$&quot;#,##0\);\-\-_)"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38139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8F4"/>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'Household Debt'!$B$13:$CY$13</c:f>
              <c:numCache>
                <c:formatCode>General</c:formatCode>
                <c:ptCount val="102"/>
                <c:pt idx="0">
                  <c:v>104.96</c:v>
                </c:pt>
                <c:pt idx="1">
                  <c:v>105.06</c:v>
                </c:pt>
                <c:pt idx="2">
                  <c:v>104.98</c:v>
                </c:pt>
                <c:pt idx="3">
                  <c:v>105.54</c:v>
                </c:pt>
                <c:pt idx="4">
                  <c:v>106.56</c:v>
                </c:pt>
                <c:pt idx="5">
                  <c:v>105.99</c:v>
                </c:pt>
                <c:pt idx="6">
                  <c:v>105.49</c:v>
                </c:pt>
                <c:pt idx="7">
                  <c:v>105.16</c:v>
                </c:pt>
                <c:pt idx="8">
                  <c:v>102.66</c:v>
                </c:pt>
                <c:pt idx="9">
                  <c:v>106.23</c:v>
                </c:pt>
                <c:pt idx="10">
                  <c:v>105.26</c:v>
                </c:pt>
                <c:pt idx="11">
                  <c:v>106.15</c:v>
                </c:pt>
                <c:pt idx="12">
                  <c:v>106.55</c:v>
                </c:pt>
                <c:pt idx="13">
                  <c:v>108.8</c:v>
                </c:pt>
                <c:pt idx="14">
                  <c:v>108.92</c:v>
                </c:pt>
                <c:pt idx="15">
                  <c:v>110.08</c:v>
                </c:pt>
                <c:pt idx="16">
                  <c:v>110.25</c:v>
                </c:pt>
                <c:pt idx="17">
                  <c:v>112.9</c:v>
                </c:pt>
                <c:pt idx="18">
                  <c:v>115.35</c:v>
                </c:pt>
                <c:pt idx="19">
                  <c:v>116.75</c:v>
                </c:pt>
                <c:pt idx="20">
                  <c:v>118.11</c:v>
                </c:pt>
                <c:pt idx="21">
                  <c:v>119</c:v>
                </c:pt>
                <c:pt idx="22">
                  <c:v>120.46</c:v>
                </c:pt>
                <c:pt idx="23">
                  <c:v>123.21</c:v>
                </c:pt>
                <c:pt idx="24">
                  <c:v>127.05</c:v>
                </c:pt>
                <c:pt idx="25">
                  <c:v>127.35</c:v>
                </c:pt>
                <c:pt idx="26">
                  <c:v>129.61000000000001</c:v>
                </c:pt>
                <c:pt idx="27">
                  <c:v>130.35</c:v>
                </c:pt>
                <c:pt idx="28">
                  <c:v>129.76</c:v>
                </c:pt>
                <c:pt idx="29">
                  <c:v>132.22</c:v>
                </c:pt>
                <c:pt idx="30">
                  <c:v>131.78</c:v>
                </c:pt>
                <c:pt idx="31">
                  <c:v>133.02000000000001</c:v>
                </c:pt>
                <c:pt idx="32">
                  <c:v>134.36000000000001</c:v>
                </c:pt>
                <c:pt idx="33">
                  <c:v>138.96</c:v>
                </c:pt>
                <c:pt idx="34">
                  <c:v>142.27000000000001</c:v>
                </c:pt>
                <c:pt idx="35">
                  <c:v>143.65</c:v>
                </c:pt>
                <c:pt idx="36">
                  <c:v>144.33000000000001</c:v>
                </c:pt>
                <c:pt idx="37">
                  <c:v>145.31</c:v>
                </c:pt>
                <c:pt idx="38">
                  <c:v>145.62</c:v>
                </c:pt>
                <c:pt idx="39">
                  <c:v>148.33000000000001</c:v>
                </c:pt>
                <c:pt idx="40">
                  <c:v>151.86000000000001</c:v>
                </c:pt>
                <c:pt idx="41">
                  <c:v>154.05000000000001</c:v>
                </c:pt>
                <c:pt idx="42">
                  <c:v>153.9</c:v>
                </c:pt>
                <c:pt idx="43">
                  <c:v>155.38</c:v>
                </c:pt>
                <c:pt idx="44">
                  <c:v>153.72999999999999</c:v>
                </c:pt>
                <c:pt idx="45">
                  <c:v>158.32</c:v>
                </c:pt>
                <c:pt idx="46">
                  <c:v>157.76</c:v>
                </c:pt>
                <c:pt idx="47">
                  <c:v>157.63999999999999</c:v>
                </c:pt>
                <c:pt idx="48">
                  <c:v>158.96</c:v>
                </c:pt>
                <c:pt idx="49">
                  <c:v>161.13999999999999</c:v>
                </c:pt>
                <c:pt idx="50">
                  <c:v>161.85</c:v>
                </c:pt>
                <c:pt idx="51">
                  <c:v>160.32</c:v>
                </c:pt>
                <c:pt idx="52">
                  <c:v>160.61000000000001</c:v>
                </c:pt>
                <c:pt idx="53">
                  <c:v>161.59</c:v>
                </c:pt>
                <c:pt idx="54">
                  <c:v>161.33000000000001</c:v>
                </c:pt>
                <c:pt idx="55">
                  <c:v>161.93</c:v>
                </c:pt>
                <c:pt idx="56">
                  <c:v>160.07</c:v>
                </c:pt>
                <c:pt idx="57">
                  <c:v>160.93</c:v>
                </c:pt>
                <c:pt idx="58">
                  <c:v>161.61000000000001</c:v>
                </c:pt>
                <c:pt idx="59">
                  <c:v>161.51</c:v>
                </c:pt>
                <c:pt idx="60">
                  <c:v>162.1</c:v>
                </c:pt>
                <c:pt idx="61">
                  <c:v>162.99</c:v>
                </c:pt>
                <c:pt idx="62">
                  <c:v>162.21</c:v>
                </c:pt>
                <c:pt idx="63">
                  <c:v>163.53</c:v>
                </c:pt>
                <c:pt idx="64">
                  <c:v>162.22999999999999</c:v>
                </c:pt>
                <c:pt idx="65">
                  <c:v>162.76</c:v>
                </c:pt>
                <c:pt idx="66">
                  <c:v>163.77000000000001</c:v>
                </c:pt>
                <c:pt idx="67">
                  <c:v>165.82</c:v>
                </c:pt>
                <c:pt idx="68">
                  <c:v>172.39</c:v>
                </c:pt>
                <c:pt idx="69">
                  <c:v>171.84</c:v>
                </c:pt>
                <c:pt idx="70">
                  <c:v>171.91</c:v>
                </c:pt>
                <c:pt idx="71">
                  <c:v>172.09</c:v>
                </c:pt>
                <c:pt idx="72">
                  <c:v>174.03</c:v>
                </c:pt>
                <c:pt idx="73">
                  <c:v>173.28</c:v>
                </c:pt>
                <c:pt idx="74">
                  <c:v>171.44</c:v>
                </c:pt>
                <c:pt idx="75">
                  <c:v>171.6</c:v>
                </c:pt>
                <c:pt idx="76">
                  <c:v>173.31</c:v>
                </c:pt>
                <c:pt idx="77">
                  <c:v>174.38</c:v>
                </c:pt>
                <c:pt idx="78">
                  <c:v>174.92</c:v>
                </c:pt>
                <c:pt idx="79">
                  <c:v>173.6</c:v>
                </c:pt>
                <c:pt idx="80">
                  <c:v>174.16</c:v>
                </c:pt>
                <c:pt idx="81">
                  <c:v>172.43</c:v>
                </c:pt>
                <c:pt idx="82">
                  <c:v>172.62</c:v>
                </c:pt>
                <c:pt idx="83">
                  <c:v>171.77</c:v>
                </c:pt>
                <c:pt idx="84">
                  <c:v>171.57</c:v>
                </c:pt>
                <c:pt idx="85">
                  <c:v>156.22999999999999</c:v>
                </c:pt>
                <c:pt idx="86">
                  <c:v>165.34</c:v>
                </c:pt>
                <c:pt idx="87">
                  <c:v>169.42</c:v>
                </c:pt>
                <c:pt idx="88">
                  <c:v>164.9</c:v>
                </c:pt>
                <c:pt idx="89">
                  <c:v>169.19</c:v>
                </c:pt>
                <c:pt idx="90">
                  <c:v>170.91</c:v>
                </c:pt>
                <c:pt idx="91">
                  <c:v>176.24</c:v>
                </c:pt>
                <c:pt idx="92">
                  <c:v>173.15</c:v>
                </c:pt>
                <c:pt idx="93">
                  <c:v>175.18</c:v>
                </c:pt>
                <c:pt idx="94">
                  <c:v>175.94</c:v>
                </c:pt>
                <c:pt idx="95">
                  <c:v>172.97</c:v>
                </c:pt>
                <c:pt idx="96">
                  <c:v>173.85</c:v>
                </c:pt>
                <c:pt idx="97">
                  <c:v>172.71</c:v>
                </c:pt>
                <c:pt idx="98">
                  <c:v>170.28</c:v>
                </c:pt>
                <c:pt idx="99">
                  <c:v>169.52</c:v>
                </c:pt>
                <c:pt idx="100">
                  <c:v>168.21</c:v>
                </c:pt>
                <c:pt idx="101">
                  <c:v>167.02</c:v>
                </c:pt>
              </c:numCache>
            </c:numRef>
          </c:val>
          <c:smooth val="0"/>
          <c:extLst>
            <c:ext xmlns:c16="http://schemas.microsoft.com/office/drawing/2014/chart" uri="{C3380CC4-5D6E-409C-BE32-E72D297353CC}">
              <c16:uniqueId val="{00000000-176F-428C-8284-8E8755C64A11}"/>
            </c:ext>
          </c:extLst>
        </c:ser>
        <c:dLbls>
          <c:showLegendKey val="0"/>
          <c:showVal val="0"/>
          <c:showCatName val="0"/>
          <c:showSerName val="0"/>
          <c:showPercent val="0"/>
          <c:showBubbleSize val="0"/>
        </c:dLbls>
        <c:smooth val="0"/>
        <c:axId val="549564664"/>
        <c:axId val="549565744"/>
      </c:lineChart>
      <c:catAx>
        <c:axId val="5495646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65744"/>
        <c:crosses val="autoZero"/>
        <c:auto val="1"/>
        <c:lblAlgn val="ctr"/>
        <c:lblOffset val="100"/>
        <c:noMultiLvlLbl val="0"/>
      </c:catAx>
      <c:valAx>
        <c:axId val="549565744"/>
        <c:scaling>
          <c:orientation val="minMax"/>
          <c:min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64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315382</xdr:colOff>
      <xdr:row>0</xdr:row>
      <xdr:rowOff>44541</xdr:rowOff>
    </xdr:from>
    <xdr:to>
      <xdr:col>13</xdr:col>
      <xdr:colOff>336549</xdr:colOff>
      <xdr:row>14</xdr:row>
      <xdr:rowOff>41043</xdr:rowOff>
    </xdr:to>
    <xdr:graphicFrame macro="">
      <xdr:nvGraphicFramePr>
        <xdr:cNvPr id="2" name="Chart 1">
          <a:extLst>
            <a:ext uri="{FF2B5EF4-FFF2-40B4-BE49-F238E27FC236}">
              <a16:creationId xmlns:a16="http://schemas.microsoft.com/office/drawing/2014/main" id="{CAC4182A-DCA5-8FEF-0B71-D67CD8A24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315382</xdr:colOff>
      <xdr:row>14</xdr:row>
      <xdr:rowOff>21167</xdr:rowOff>
    </xdr:from>
    <xdr:to>
      <xdr:col>13</xdr:col>
      <xdr:colOff>336549</xdr:colOff>
      <xdr:row>27</xdr:row>
      <xdr:rowOff>148167</xdr:rowOff>
    </xdr:to>
    <xdr:graphicFrame macro="">
      <xdr:nvGraphicFramePr>
        <xdr:cNvPr id="3" name="Chart 2">
          <a:extLst>
            <a:ext uri="{FF2B5EF4-FFF2-40B4-BE49-F238E27FC236}">
              <a16:creationId xmlns:a16="http://schemas.microsoft.com/office/drawing/2014/main" id="{54CED9C3-2313-4D58-A036-20225D8BB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315382</xdr:colOff>
      <xdr:row>28</xdr:row>
      <xdr:rowOff>16934</xdr:rowOff>
    </xdr:from>
    <xdr:to>
      <xdr:col>13</xdr:col>
      <xdr:colOff>336549</xdr:colOff>
      <xdr:row>41</xdr:row>
      <xdr:rowOff>143934</xdr:rowOff>
    </xdr:to>
    <xdr:graphicFrame macro="">
      <xdr:nvGraphicFramePr>
        <xdr:cNvPr id="4" name="Chart 3">
          <a:extLst>
            <a:ext uri="{FF2B5EF4-FFF2-40B4-BE49-F238E27FC236}">
              <a16:creationId xmlns:a16="http://schemas.microsoft.com/office/drawing/2014/main" id="{30AEA4E9-8656-409B-8313-79C89409B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315382</xdr:colOff>
      <xdr:row>42</xdr:row>
      <xdr:rowOff>135466</xdr:rowOff>
    </xdr:from>
    <xdr:to>
      <xdr:col>13</xdr:col>
      <xdr:colOff>336549</xdr:colOff>
      <xdr:row>56</xdr:row>
      <xdr:rowOff>80433</xdr:rowOff>
    </xdr:to>
    <xdr:graphicFrame macro="">
      <xdr:nvGraphicFramePr>
        <xdr:cNvPr id="5" name="Chart 4">
          <a:extLst>
            <a:ext uri="{FF2B5EF4-FFF2-40B4-BE49-F238E27FC236}">
              <a16:creationId xmlns:a16="http://schemas.microsoft.com/office/drawing/2014/main" id="{B1994F56-FC01-409D-97B5-E9034A37F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94626</xdr:colOff>
      <xdr:row>71</xdr:row>
      <xdr:rowOff>98111</xdr:rowOff>
    </xdr:from>
    <xdr:to>
      <xdr:col>14</xdr:col>
      <xdr:colOff>552824</xdr:colOff>
      <xdr:row>95</xdr:row>
      <xdr:rowOff>148166</xdr:rowOff>
    </xdr:to>
    <xdr:graphicFrame macro="">
      <xdr:nvGraphicFramePr>
        <xdr:cNvPr id="2" name="Chart 1">
          <a:extLst>
            <a:ext uri="{FF2B5EF4-FFF2-40B4-BE49-F238E27FC236}">
              <a16:creationId xmlns:a16="http://schemas.microsoft.com/office/drawing/2014/main" id="{705F9494-7911-451E-9611-EC59053E7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94626</xdr:colOff>
      <xdr:row>35</xdr:row>
      <xdr:rowOff>98111</xdr:rowOff>
    </xdr:from>
    <xdr:to>
      <xdr:col>14</xdr:col>
      <xdr:colOff>552824</xdr:colOff>
      <xdr:row>59</xdr:row>
      <xdr:rowOff>148166</xdr:rowOff>
    </xdr:to>
    <xdr:graphicFrame macro="">
      <xdr:nvGraphicFramePr>
        <xdr:cNvPr id="2" name="Chart 1">
          <a:extLst>
            <a:ext uri="{FF2B5EF4-FFF2-40B4-BE49-F238E27FC236}">
              <a16:creationId xmlns:a16="http://schemas.microsoft.com/office/drawing/2014/main" id="{D1275123-BDCD-4647-5EDC-E12D6724E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624415</xdr:colOff>
      <xdr:row>2</xdr:row>
      <xdr:rowOff>148165</xdr:rowOff>
    </xdr:from>
    <xdr:to>
      <xdr:col>18</xdr:col>
      <xdr:colOff>127000</xdr:colOff>
      <xdr:row>30</xdr:row>
      <xdr:rowOff>131233</xdr:rowOff>
    </xdr:to>
    <xdr:graphicFrame macro="">
      <xdr:nvGraphicFramePr>
        <xdr:cNvPr id="2" name="Chart 1">
          <a:extLst>
            <a:ext uri="{FF2B5EF4-FFF2-40B4-BE49-F238E27FC236}">
              <a16:creationId xmlns:a16="http://schemas.microsoft.com/office/drawing/2014/main" id="{CE01487B-90E1-3947-E00D-90D026A2D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342899</xdr:colOff>
      <xdr:row>9</xdr:row>
      <xdr:rowOff>88900</xdr:rowOff>
    </xdr:from>
    <xdr:to>
      <xdr:col>16</xdr:col>
      <xdr:colOff>237067</xdr:colOff>
      <xdr:row>12</xdr:row>
      <xdr:rowOff>84666</xdr:rowOff>
    </xdr:to>
    <xdr:sp macro="" textlink="">
      <xdr:nvSpPr>
        <xdr:cNvPr id="3" name="TextBox 2">
          <a:extLst>
            <a:ext uri="{FF2B5EF4-FFF2-40B4-BE49-F238E27FC236}">
              <a16:creationId xmlns:a16="http://schemas.microsoft.com/office/drawing/2014/main" id="{5C92F66E-2AC4-8C32-00E1-87FC50C3F60D}"/>
            </a:ext>
          </a:extLst>
        </xdr:cNvPr>
        <xdr:cNvSpPr txBox="1"/>
      </xdr:nvSpPr>
      <xdr:spPr>
        <a:xfrm>
          <a:off x="6904566" y="1727200"/>
          <a:ext cx="3754968" cy="541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900" i="1"/>
            <a:t>Source:</a:t>
          </a:r>
          <a:r>
            <a:rPr lang="en-CA" sz="900" i="1" baseline="0"/>
            <a:t> Statistics Canada</a:t>
          </a:r>
        </a:p>
        <a:p>
          <a:r>
            <a:rPr lang="en-CA" sz="900" i="1" baseline="0"/>
            <a:t>Created by: The Measure of a Plan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29634</xdr:colOff>
      <xdr:row>23</xdr:row>
      <xdr:rowOff>59266</xdr:rowOff>
    </xdr:from>
    <xdr:to>
      <xdr:col>13</xdr:col>
      <xdr:colOff>97367</xdr:colOff>
      <xdr:row>38</xdr:row>
      <xdr:rowOff>71966</xdr:rowOff>
    </xdr:to>
    <xdr:graphicFrame macro="">
      <xdr:nvGraphicFramePr>
        <xdr:cNvPr id="3" name="Chart 2">
          <a:extLst>
            <a:ext uri="{FF2B5EF4-FFF2-40B4-BE49-F238E27FC236}">
              <a16:creationId xmlns:a16="http://schemas.microsoft.com/office/drawing/2014/main" id="{502A59D6-F8D6-4FEB-BCA9-3C7D23E06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150.statcan.gc.ca/t1/tbl1/en/cv!recreate.action?pid=3610066001&amp;selectedNodeIds=2D3,3D53,3D54,3D55,3D56,3D57&amp;checkedLevels=0D1,2D1,3D1,3D2,3D3&amp;refPeriods=20100101,20241001&amp;dimensionLayouts=layout2,layout2,layout2,layout3,layout2&amp;vectorDisplay=false"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hyperlink" Target="https://www150.statcan.gc.ca/t1/tbl1/en/cv!recreate.action?pid=3610058701&amp;selectedNodeIds=2D3,3D22,3D42,4D1,4D2,4D3,4D4,4D5,4D6,4D7,4D8,4D9,4D10,4D11,4D12,4D13,4D14,4D15,4D16,4D17,4D18,4D19,4D20,4D21,4D22,4D23&amp;checkedLevels=0D1&amp;refPeriods=19990101,20230101&amp;dimensionLayouts=layout2,layout2,layout2,layout3,layout2&amp;vectorDisplay=fals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150.statcan.gc.ca/t1/tbl1/en/cv!recreate.action?pid=3610058701&amp;selectedNodeIds=2D3,3D2,3D3,3D4,3D5,3D6,4D1,4D2,4D3,4D4,4D5,4D6,4D7,4D8,4D9,4D10,4D11,4D12,4D13,4D14,4D15,4D16,4D17,4D18,4D19,4D20,4D21,4D22,4D23&amp;checkedLevels=0D1&amp;refPeriods=19990101,20230101&amp;dimensionLayouts=layout2,layout2,layout2,layout3,layout2&amp;vectorDisplay=fals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150.statcan.gc.ca/t1/tbl1/en/cv!recreate.action?pid=3610058701&amp;selectedNodeIds=2D1,3D2,3D3,3D4,3D5,3D6,4D1,4D2,4D3,4D4,4D5,4D6,4D7,4D8,4D9,4D10,4D11,4D12,4D13,4D14,4D15,4D16,4D17,4D18,4D19,4D20,4D21,4D22,4D23&amp;checkedLevels=0D1,2D1&amp;refPeriods=19990101,20230101&amp;dimensionLayouts=layout2,layout2,layout2,layout3,layout2&amp;vectorDisplay=false"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3" Type="http://schemas.openxmlformats.org/officeDocument/2006/relationships/hyperlink" Target="https://www150.statcan.gc.ca/n1/pub/13-607-x/2016001/940-eng.htm" TargetMode="External"/><Relationship Id="rId2" Type="http://schemas.openxmlformats.org/officeDocument/2006/relationships/hyperlink" Target="https://www150.statcan.gc.ca/n1/pub/13-607-x/2016001/956-eng.htm" TargetMode="External"/><Relationship Id="rId1" Type="http://schemas.openxmlformats.org/officeDocument/2006/relationships/hyperlink" Target="https://www150.statcan.gc.ca/n1/pub/13-607-x/2016001/950-eng.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4"/>
  <sheetViews>
    <sheetView workbookViewId="0"/>
  </sheetViews>
  <sheetFormatPr defaultRowHeight="15" x14ac:dyDescent="0.25"/>
  <sheetData>
    <row r="2" spans="2:2" x14ac:dyDescent="0.25">
      <c r="B2" s="27" t="s">
        <v>113</v>
      </c>
    </row>
    <row r="3" spans="2:2" x14ac:dyDescent="0.25">
      <c r="B3" s="26" t="s">
        <v>328</v>
      </c>
    </row>
    <row r="4" spans="2:2" x14ac:dyDescent="0.25">
      <c r="B4" s="26" t="s">
        <v>194</v>
      </c>
    </row>
    <row r="5" spans="2:2" x14ac:dyDescent="0.25">
      <c r="B5" s="26" t="s">
        <v>195</v>
      </c>
    </row>
    <row r="7" spans="2:2" x14ac:dyDescent="0.25">
      <c r="B7" s="7" t="s">
        <v>114</v>
      </c>
    </row>
    <row r="8" spans="2:2" x14ac:dyDescent="0.25">
      <c r="B8" s="7" t="s">
        <v>115</v>
      </c>
    </row>
    <row r="9" spans="2:2" x14ac:dyDescent="0.25">
      <c r="B9" s="7" t="s">
        <v>363</v>
      </c>
    </row>
    <row r="10" spans="2:2" x14ac:dyDescent="0.25">
      <c r="B10" s="7" t="s">
        <v>326</v>
      </c>
    </row>
    <row r="12" spans="2:2" x14ac:dyDescent="0.25">
      <c r="B12" s="7" t="s">
        <v>188</v>
      </c>
    </row>
    <row r="13" spans="2:2" x14ac:dyDescent="0.25">
      <c r="B13" s="7"/>
    </row>
    <row r="14" spans="2:2" x14ac:dyDescent="0.25">
      <c r="B14" s="7" t="s">
        <v>189</v>
      </c>
    </row>
    <row r="15" spans="2:2" x14ac:dyDescent="0.25">
      <c r="B15" s="7" t="s">
        <v>191</v>
      </c>
    </row>
    <row r="16" spans="2:2" x14ac:dyDescent="0.25">
      <c r="B16" s="7" t="s">
        <v>192</v>
      </c>
    </row>
    <row r="17" spans="2:2" x14ac:dyDescent="0.25">
      <c r="B17" s="34" t="s">
        <v>190</v>
      </c>
    </row>
    <row r="18" spans="2:2" x14ac:dyDescent="0.25">
      <c r="B18" s="7" t="s">
        <v>193</v>
      </c>
    </row>
    <row r="20" spans="2:2" x14ac:dyDescent="0.25">
      <c r="B20" s="7"/>
    </row>
    <row r="21" spans="2:2" x14ac:dyDescent="0.25">
      <c r="B21" s="7"/>
    </row>
    <row r="22" spans="2:2" x14ac:dyDescent="0.25">
      <c r="B22" s="7"/>
    </row>
    <row r="23" spans="2:2" x14ac:dyDescent="0.25">
      <c r="B23" s="7"/>
    </row>
    <row r="24" spans="2:2" x14ac:dyDescent="0.25">
      <c r="B2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52"/>
  <sheetViews>
    <sheetView topLeftCell="A35" zoomScale="115" zoomScaleNormal="115" workbookViewId="0">
      <selection activeCell="A58" sqref="A58"/>
    </sheetView>
  </sheetViews>
  <sheetFormatPr defaultColWidth="12.7109375" defaultRowHeight="15" x14ac:dyDescent="0.25"/>
  <cols>
    <col min="1" max="1" width="2.7109375" customWidth="1"/>
  </cols>
  <sheetData>
    <row r="1" spans="2:8" ht="18.75" x14ac:dyDescent="0.3">
      <c r="B1" s="12" t="s">
        <v>197</v>
      </c>
    </row>
    <row r="2" spans="2:8" x14ac:dyDescent="0.25">
      <c r="B2" t="s">
        <v>196</v>
      </c>
    </row>
    <row r="3" spans="2:8" ht="17.25" x14ac:dyDescent="0.4">
      <c r="B3" s="8"/>
      <c r="C3" s="9" t="s">
        <v>103</v>
      </c>
      <c r="D3" s="9"/>
      <c r="E3" s="9"/>
      <c r="F3" s="9"/>
      <c r="G3" s="9"/>
      <c r="H3" s="9"/>
    </row>
    <row r="4" spans="2:8" ht="30" x14ac:dyDescent="0.25">
      <c r="B4" s="21" t="s">
        <v>105</v>
      </c>
      <c r="C4" s="10" t="s">
        <v>98</v>
      </c>
      <c r="D4" s="10" t="s">
        <v>99</v>
      </c>
      <c r="E4" s="10" t="s">
        <v>100</v>
      </c>
      <c r="F4" s="10" t="s">
        <v>101</v>
      </c>
      <c r="G4" s="10" t="s">
        <v>102</v>
      </c>
      <c r="H4" s="10" t="s">
        <v>97</v>
      </c>
    </row>
    <row r="5" spans="2:8" x14ac:dyDescent="0.25">
      <c r="B5" s="3">
        <v>1</v>
      </c>
      <c r="C5" s="13">
        <f>'2023 per HH by Age and Quintile'!M16</f>
        <v>32144</v>
      </c>
      <c r="D5" s="13">
        <f>'2023 per HH by Age and Quintile'!N16</f>
        <v>39230</v>
      </c>
      <c r="E5" s="13">
        <f>'2023 per HH by Age and Quintile'!O16</f>
        <v>39715</v>
      </c>
      <c r="F5" s="13">
        <f>'2023 per HH by Age and Quintile'!P16</f>
        <v>24610</v>
      </c>
      <c r="G5" s="13">
        <f>'2023 per HH by Age and Quintile'!Q16</f>
        <v>28735</v>
      </c>
      <c r="H5" s="14">
        <f>'2023 per HH by Age and Quintile'!C16</f>
        <v>31604</v>
      </c>
    </row>
    <row r="6" spans="2:8" x14ac:dyDescent="0.25">
      <c r="B6" s="3">
        <v>2</v>
      </c>
      <c r="C6" s="13">
        <f>'2023 per HH by Age and Quintile'!R16</f>
        <v>75128</v>
      </c>
      <c r="D6" s="13">
        <f>'2023 per HH by Age and Quintile'!S16</f>
        <v>79366</v>
      </c>
      <c r="E6" s="13">
        <f>'2023 per HH by Age and Quintile'!T16</f>
        <v>62668</v>
      </c>
      <c r="F6" s="13">
        <f>'2023 per HH by Age and Quintile'!U16</f>
        <v>55594</v>
      </c>
      <c r="G6" s="13">
        <f>'2023 per HH by Age and Quintile'!V16</f>
        <v>44502</v>
      </c>
      <c r="H6" s="14">
        <f>'2023 per HH by Age and Quintile'!D16</f>
        <v>59447</v>
      </c>
    </row>
    <row r="7" spans="2:8" x14ac:dyDescent="0.25">
      <c r="B7" s="3">
        <v>3</v>
      </c>
      <c r="C7" s="13">
        <f>'2023 per HH by Age and Quintile'!W16</f>
        <v>89104</v>
      </c>
      <c r="D7" s="13">
        <f>'2023 per HH by Age and Quintile'!X16</f>
        <v>93589</v>
      </c>
      <c r="E7" s="13">
        <f>'2023 per HH by Age and Quintile'!Y16</f>
        <v>98250</v>
      </c>
      <c r="F7" s="13">
        <f>'2023 per HH by Age and Quintile'!Z16</f>
        <v>70228</v>
      </c>
      <c r="G7" s="13">
        <f>'2023 per HH by Age and Quintile'!AA16</f>
        <v>58049</v>
      </c>
      <c r="H7" s="14">
        <f>'2023 per HH by Age and Quintile'!E16</f>
        <v>78998</v>
      </c>
    </row>
    <row r="8" spans="2:8" x14ac:dyDescent="0.25">
      <c r="B8" s="3">
        <v>4</v>
      </c>
      <c r="C8" s="13">
        <f>'2023 per HH by Age and Quintile'!AB16</f>
        <v>119463</v>
      </c>
      <c r="D8" s="13">
        <f>'2023 per HH by Age and Quintile'!AC16</f>
        <v>137538</v>
      </c>
      <c r="E8" s="13">
        <f>'2023 per HH by Age and Quintile'!AD16</f>
        <v>135803</v>
      </c>
      <c r="F8" s="13">
        <f>'2023 per HH by Age and Quintile'!AE16</f>
        <v>106872</v>
      </c>
      <c r="G8" s="13">
        <f>'2023 per HH by Age and Quintile'!AF16</f>
        <v>79024</v>
      </c>
      <c r="H8" s="14">
        <f>'2023 per HH by Age and Quintile'!F16</f>
        <v>114315</v>
      </c>
    </row>
    <row r="9" spans="2:8" x14ac:dyDescent="0.25">
      <c r="B9" s="3">
        <v>5</v>
      </c>
      <c r="C9" s="13">
        <f>'2023 per HH by Age and Quintile'!AG16</f>
        <v>182418</v>
      </c>
      <c r="D9" s="13">
        <f>'2023 per HH by Age and Quintile'!AH16</f>
        <v>187629</v>
      </c>
      <c r="E9" s="13">
        <f>'2023 per HH by Age and Quintile'!AI16</f>
        <v>262002</v>
      </c>
      <c r="F9" s="13">
        <f>'2023 per HH by Age and Quintile'!AJ16</f>
        <v>193320</v>
      </c>
      <c r="G9" s="13">
        <f>'2023 per HH by Age and Quintile'!AK16</f>
        <v>167492</v>
      </c>
      <c r="H9" s="14">
        <f>'2023 per HH by Age and Quintile'!G16</f>
        <v>197667</v>
      </c>
    </row>
    <row r="10" spans="2:8" ht="15.75" thickBot="1" x14ac:dyDescent="0.3">
      <c r="B10" s="11" t="s">
        <v>97</v>
      </c>
      <c r="C10" s="36">
        <f>'2023 per HH by Age and Quintile'!H16</f>
        <v>97767</v>
      </c>
      <c r="D10" s="36">
        <f>'2023 per HH by Age and Quintile'!I16</f>
        <v>112274</v>
      </c>
      <c r="E10" s="36">
        <f>'2023 per HH by Age and Quintile'!J16</f>
        <v>130133</v>
      </c>
      <c r="F10" s="36">
        <f>'2023 per HH by Age and Quintile'!K16</f>
        <v>101450</v>
      </c>
      <c r="G10" s="36">
        <f>'2023 per HH by Age and Quintile'!L16</f>
        <v>65738</v>
      </c>
      <c r="H10" s="37">
        <f>'2023 per HH by Age and Quintile'!B16</f>
        <v>96406</v>
      </c>
    </row>
    <row r="11" spans="2:8" x14ac:dyDescent="0.25">
      <c r="C11" s="20"/>
      <c r="D11" s="20"/>
      <c r="E11" s="20"/>
      <c r="F11" s="20"/>
      <c r="G11" s="20"/>
      <c r="H11" s="20"/>
    </row>
    <row r="12" spans="2:8" x14ac:dyDescent="0.25">
      <c r="C12" s="13"/>
      <c r="D12" s="13"/>
      <c r="E12" s="13"/>
      <c r="F12" s="13"/>
      <c r="G12" s="13"/>
      <c r="H12" s="13"/>
    </row>
    <row r="13" spans="2:8" x14ac:dyDescent="0.25">
      <c r="C13" s="20"/>
      <c r="D13" s="20"/>
      <c r="E13" s="20"/>
      <c r="F13" s="20"/>
      <c r="G13" s="20"/>
      <c r="H13" s="20"/>
    </row>
    <row r="15" spans="2:8" ht="18.75" x14ac:dyDescent="0.3">
      <c r="B15" s="12" t="s">
        <v>198</v>
      </c>
    </row>
    <row r="16" spans="2:8" x14ac:dyDescent="0.25">
      <c r="B16" t="s">
        <v>196</v>
      </c>
    </row>
    <row r="17" spans="2:8" ht="17.25" x14ac:dyDescent="0.4">
      <c r="B17" s="8"/>
      <c r="C17" s="9" t="s">
        <v>103</v>
      </c>
      <c r="D17" s="9"/>
      <c r="E17" s="9"/>
      <c r="F17" s="9"/>
      <c r="G17" s="9"/>
      <c r="H17" s="9"/>
    </row>
    <row r="18" spans="2:8" ht="30" x14ac:dyDescent="0.25">
      <c r="B18" s="21" t="s">
        <v>105</v>
      </c>
      <c r="C18" s="10" t="s">
        <v>98</v>
      </c>
      <c r="D18" s="10" t="s">
        <v>99</v>
      </c>
      <c r="E18" s="10" t="s">
        <v>100</v>
      </c>
      <c r="F18" s="10" t="s">
        <v>101</v>
      </c>
      <c r="G18" s="10" t="s">
        <v>102</v>
      </c>
      <c r="H18" s="10" t="s">
        <v>97</v>
      </c>
    </row>
    <row r="19" spans="2:8" x14ac:dyDescent="0.25">
      <c r="B19" s="3">
        <v>1</v>
      </c>
      <c r="C19" s="13">
        <f>'2023 per HH by Age and Quintile'!M23</f>
        <v>62761</v>
      </c>
      <c r="D19" s="13">
        <f>'2023 per HH by Age and Quintile'!N23</f>
        <v>63254</v>
      </c>
      <c r="E19" s="13">
        <f>'2023 per HH by Age and Quintile'!O23</f>
        <v>76767</v>
      </c>
      <c r="F19" s="13">
        <f>'2023 per HH by Age and Quintile'!P23</f>
        <v>71238</v>
      </c>
      <c r="G19" s="13">
        <f>'2023 per HH by Age and Quintile'!Q23</f>
        <v>52572</v>
      </c>
      <c r="H19" s="14">
        <f t="array" ref="H19:H23">TRANSPOSE('2023 per HH by Age and Quintile'!C23:G23)</f>
        <v>61968</v>
      </c>
    </row>
    <row r="20" spans="2:8" x14ac:dyDescent="0.25">
      <c r="B20" s="3">
        <v>2</v>
      </c>
      <c r="C20" s="13">
        <f>'2023 per HH by Age and Quintile'!R23</f>
        <v>81310</v>
      </c>
      <c r="D20" s="13">
        <f>'2023 per HH by Age and Quintile'!S23</f>
        <v>97176</v>
      </c>
      <c r="E20" s="13">
        <f>'2023 per HH by Age and Quintile'!T23</f>
        <v>86855</v>
      </c>
      <c r="F20" s="13">
        <f>'2023 per HH by Age and Quintile'!U23</f>
        <v>84889</v>
      </c>
      <c r="G20" s="13">
        <f>'2023 per HH by Age and Quintile'!V23</f>
        <v>55746</v>
      </c>
      <c r="H20" s="14">
        <v>75118</v>
      </c>
    </row>
    <row r="21" spans="2:8" x14ac:dyDescent="0.25">
      <c r="B21" s="3">
        <v>3</v>
      </c>
      <c r="C21" s="13">
        <f>'2023 per HH by Age and Quintile'!W23</f>
        <v>88214</v>
      </c>
      <c r="D21" s="13">
        <f>'2023 per HH by Age and Quintile'!X23</f>
        <v>99908</v>
      </c>
      <c r="E21" s="13">
        <f>'2023 per HH by Age and Quintile'!Y23</f>
        <v>126342</v>
      </c>
      <c r="F21" s="13">
        <f>'2023 per HH by Age and Quintile'!Z23</f>
        <v>93812</v>
      </c>
      <c r="G21" s="13">
        <f>'2023 per HH by Age and Quintile'!AA23</f>
        <v>68078</v>
      </c>
      <c r="H21" s="14">
        <v>91266</v>
      </c>
    </row>
    <row r="22" spans="2:8" x14ac:dyDescent="0.25">
      <c r="B22" s="3">
        <v>4</v>
      </c>
      <c r="C22" s="13">
        <f>'2023 per HH by Age and Quintile'!AB23</f>
        <v>88615</v>
      </c>
      <c r="D22" s="13">
        <f>'2023 per HH by Age and Quintile'!AC23</f>
        <v>112438</v>
      </c>
      <c r="E22" s="13">
        <f>'2023 per HH by Age and Quintile'!AD23</f>
        <v>135533</v>
      </c>
      <c r="F22" s="13">
        <f>'2023 per HH by Age and Quintile'!AE23</f>
        <v>114766</v>
      </c>
      <c r="G22" s="13">
        <f>'2023 per HH by Age and Quintile'!AF23</f>
        <v>72967</v>
      </c>
      <c r="H22" s="14">
        <v>103168</v>
      </c>
    </row>
    <row r="23" spans="2:8" x14ac:dyDescent="0.25">
      <c r="B23" s="3">
        <v>5</v>
      </c>
      <c r="C23" s="13">
        <f>'2023 per HH by Age and Quintile'!AG23</f>
        <v>128919</v>
      </c>
      <c r="D23" s="13">
        <f>'2023 per HH by Age and Quintile'!AH23</f>
        <v>131586</v>
      </c>
      <c r="E23" s="13">
        <f>'2023 per HH by Age and Quintile'!AI23</f>
        <v>183861</v>
      </c>
      <c r="F23" s="13">
        <f>'2023 per HH by Age and Quintile'!AJ23</f>
        <v>146632</v>
      </c>
      <c r="G23" s="13">
        <f>'2023 per HH by Age and Quintile'!AK23</f>
        <v>96602</v>
      </c>
      <c r="H23" s="14">
        <v>137015</v>
      </c>
    </row>
    <row r="24" spans="2:8" ht="15.75" thickBot="1" x14ac:dyDescent="0.3">
      <c r="B24" s="11" t="s">
        <v>97</v>
      </c>
      <c r="C24" s="36">
        <f>'2023 per HH by Age and Quintile'!H23</f>
        <v>88914</v>
      </c>
      <c r="D24" s="36">
        <f>'2023 per HH by Age and Quintile'!I23</f>
        <v>103075</v>
      </c>
      <c r="E24" s="36">
        <f>'2023 per HH by Age and Quintile'!J23</f>
        <v>127283</v>
      </c>
      <c r="F24" s="36">
        <f>'2023 per HH by Age and Quintile'!K23</f>
        <v>107382</v>
      </c>
      <c r="G24" s="36">
        <f>'2023 per HH by Age and Quintile'!L23</f>
        <v>65742</v>
      </c>
      <c r="H24" s="37">
        <f>'2023 per HH by Age and Quintile'!B23</f>
        <v>93707</v>
      </c>
    </row>
    <row r="25" spans="2:8" x14ac:dyDescent="0.25">
      <c r="C25" s="20"/>
      <c r="D25" s="20"/>
      <c r="E25" s="20"/>
      <c r="F25" s="20"/>
      <c r="G25" s="20"/>
      <c r="H25" s="20"/>
    </row>
    <row r="26" spans="2:8" x14ac:dyDescent="0.25">
      <c r="C26" s="13"/>
      <c r="D26" s="13"/>
      <c r="E26" s="13"/>
      <c r="F26" s="13"/>
      <c r="G26" s="13"/>
      <c r="H26" s="13"/>
    </row>
    <row r="27" spans="2:8" x14ac:dyDescent="0.25">
      <c r="C27" s="20"/>
      <c r="D27" s="20"/>
      <c r="E27" s="20"/>
      <c r="F27" s="20"/>
      <c r="G27" s="20"/>
      <c r="H27" s="20"/>
    </row>
    <row r="28" spans="2:8" x14ac:dyDescent="0.25">
      <c r="C28" s="20"/>
      <c r="D28" s="20"/>
      <c r="E28" s="20"/>
      <c r="F28" s="20"/>
      <c r="G28" s="20"/>
      <c r="H28" s="20"/>
    </row>
    <row r="29" spans="2:8" ht="18.75" x14ac:dyDescent="0.3">
      <c r="B29" s="12" t="s">
        <v>199</v>
      </c>
    </row>
    <row r="30" spans="2:8" x14ac:dyDescent="0.25">
      <c r="B30" t="s">
        <v>196</v>
      </c>
    </row>
    <row r="31" spans="2:8" ht="17.25" x14ac:dyDescent="0.4">
      <c r="B31" s="8"/>
      <c r="C31" s="9" t="s">
        <v>103</v>
      </c>
      <c r="D31" s="9"/>
      <c r="E31" s="9"/>
      <c r="F31" s="9"/>
      <c r="G31" s="9"/>
      <c r="H31" s="9"/>
    </row>
    <row r="32" spans="2:8" ht="30" x14ac:dyDescent="0.25">
      <c r="B32" s="21" t="s">
        <v>105</v>
      </c>
      <c r="C32" s="10" t="s">
        <v>98</v>
      </c>
      <c r="D32" s="10" t="s">
        <v>99</v>
      </c>
      <c r="E32" s="10" t="s">
        <v>100</v>
      </c>
      <c r="F32" s="10" t="s">
        <v>101</v>
      </c>
      <c r="G32" s="10" t="s">
        <v>102</v>
      </c>
      <c r="H32" s="10" t="s">
        <v>97</v>
      </c>
    </row>
    <row r="33" spans="2:8" x14ac:dyDescent="0.25">
      <c r="B33" s="3">
        <v>1</v>
      </c>
      <c r="C33" s="15">
        <f>C5-C19</f>
        <v>-30617</v>
      </c>
      <c r="D33" s="15">
        <f t="shared" ref="D33:H33" si="0">D5-D19</f>
        <v>-24024</v>
      </c>
      <c r="E33" s="15">
        <f t="shared" si="0"/>
        <v>-37052</v>
      </c>
      <c r="F33" s="15">
        <f t="shared" si="0"/>
        <v>-46628</v>
      </c>
      <c r="G33" s="15">
        <f t="shared" si="0"/>
        <v>-23837</v>
      </c>
      <c r="H33" s="16">
        <f t="shared" si="0"/>
        <v>-30364</v>
      </c>
    </row>
    <row r="34" spans="2:8" x14ac:dyDescent="0.25">
      <c r="B34" s="3">
        <v>2</v>
      </c>
      <c r="C34" s="15">
        <f t="shared" ref="C34:H34" si="1">C6-C20</f>
        <v>-6182</v>
      </c>
      <c r="D34" s="15">
        <f t="shared" si="1"/>
        <v>-17810</v>
      </c>
      <c r="E34" s="15">
        <f t="shared" si="1"/>
        <v>-24187</v>
      </c>
      <c r="F34" s="15">
        <f t="shared" si="1"/>
        <v>-29295</v>
      </c>
      <c r="G34" s="15">
        <f t="shared" si="1"/>
        <v>-11244</v>
      </c>
      <c r="H34" s="16">
        <f t="shared" si="1"/>
        <v>-15671</v>
      </c>
    </row>
    <row r="35" spans="2:8" x14ac:dyDescent="0.25">
      <c r="B35" s="3">
        <v>3</v>
      </c>
      <c r="C35" s="15">
        <f t="shared" ref="C35:H35" si="2">C7-C21</f>
        <v>890</v>
      </c>
      <c r="D35" s="15">
        <f t="shared" si="2"/>
        <v>-6319</v>
      </c>
      <c r="E35" s="15">
        <f t="shared" si="2"/>
        <v>-28092</v>
      </c>
      <c r="F35" s="15">
        <f t="shared" si="2"/>
        <v>-23584</v>
      </c>
      <c r="G35" s="15">
        <f t="shared" si="2"/>
        <v>-10029</v>
      </c>
      <c r="H35" s="16">
        <f t="shared" si="2"/>
        <v>-12268</v>
      </c>
    </row>
    <row r="36" spans="2:8" x14ac:dyDescent="0.25">
      <c r="B36" s="3">
        <v>4</v>
      </c>
      <c r="C36" s="15">
        <f t="shared" ref="C36:H36" si="3">C8-C22</f>
        <v>30848</v>
      </c>
      <c r="D36" s="15">
        <f t="shared" si="3"/>
        <v>25100</v>
      </c>
      <c r="E36" s="15">
        <f t="shared" si="3"/>
        <v>270</v>
      </c>
      <c r="F36" s="15">
        <f t="shared" si="3"/>
        <v>-7894</v>
      </c>
      <c r="G36" s="15">
        <f t="shared" si="3"/>
        <v>6057</v>
      </c>
      <c r="H36" s="16">
        <f t="shared" si="3"/>
        <v>11147</v>
      </c>
    </row>
    <row r="37" spans="2:8" x14ac:dyDescent="0.25">
      <c r="B37" s="3">
        <v>5</v>
      </c>
      <c r="C37" s="15">
        <f t="shared" ref="C37:H37" si="4">C9-C23</f>
        <v>53499</v>
      </c>
      <c r="D37" s="15">
        <f t="shared" si="4"/>
        <v>56043</v>
      </c>
      <c r="E37" s="15">
        <f t="shared" si="4"/>
        <v>78141</v>
      </c>
      <c r="F37" s="15">
        <f t="shared" si="4"/>
        <v>46688</v>
      </c>
      <c r="G37" s="15">
        <f t="shared" si="4"/>
        <v>70890</v>
      </c>
      <c r="H37" s="16">
        <f t="shared" si="4"/>
        <v>60652</v>
      </c>
    </row>
    <row r="38" spans="2:8" ht="15.75" thickBot="1" x14ac:dyDescent="0.3">
      <c r="B38" s="11" t="s">
        <v>97</v>
      </c>
      <c r="C38" s="17">
        <f t="shared" ref="C38:H38" si="5">C10-C24</f>
        <v>8853</v>
      </c>
      <c r="D38" s="17">
        <f t="shared" si="5"/>
        <v>9199</v>
      </c>
      <c r="E38" s="17">
        <f t="shared" si="5"/>
        <v>2850</v>
      </c>
      <c r="F38" s="17">
        <f t="shared" si="5"/>
        <v>-5932</v>
      </c>
      <c r="G38" s="17">
        <f t="shared" si="5"/>
        <v>-4</v>
      </c>
      <c r="H38" s="18">
        <f t="shared" si="5"/>
        <v>2699</v>
      </c>
    </row>
    <row r="39" spans="2:8" x14ac:dyDescent="0.25">
      <c r="C39" s="20"/>
      <c r="D39" s="20"/>
      <c r="E39" s="20"/>
      <c r="F39" s="20"/>
      <c r="G39" s="20"/>
      <c r="H39" s="20"/>
    </row>
    <row r="40" spans="2:8" x14ac:dyDescent="0.25">
      <c r="D40" s="13"/>
      <c r="E40" s="13"/>
      <c r="F40" s="13"/>
      <c r="G40" s="13"/>
      <c r="H40" s="13"/>
    </row>
    <row r="41" spans="2:8" x14ac:dyDescent="0.25">
      <c r="D41" s="20"/>
      <c r="E41" s="20"/>
      <c r="F41" s="20"/>
      <c r="G41" s="20"/>
      <c r="H41" s="20"/>
    </row>
    <row r="43" spans="2:8" ht="18.75" x14ac:dyDescent="0.3">
      <c r="B43" s="12" t="s">
        <v>106</v>
      </c>
    </row>
    <row r="44" spans="2:8" x14ac:dyDescent="0.25">
      <c r="B44" t="s">
        <v>200</v>
      </c>
    </row>
    <row r="45" spans="2:8" ht="17.25" x14ac:dyDescent="0.4">
      <c r="B45" s="8"/>
      <c r="C45" s="9" t="s">
        <v>103</v>
      </c>
      <c r="D45" s="9"/>
      <c r="E45" s="9"/>
      <c r="F45" s="9"/>
      <c r="G45" s="9"/>
      <c r="H45" s="9"/>
    </row>
    <row r="46" spans="2:8" ht="30" x14ac:dyDescent="0.25">
      <c r="B46" s="21" t="s">
        <v>105</v>
      </c>
      <c r="C46" s="10" t="s">
        <v>98</v>
      </c>
      <c r="D46" s="10" t="s">
        <v>99</v>
      </c>
      <c r="E46" s="10" t="s">
        <v>100</v>
      </c>
      <c r="F46" s="10" t="s">
        <v>101</v>
      </c>
      <c r="G46" s="10" t="s">
        <v>102</v>
      </c>
      <c r="H46" s="10" t="s">
        <v>97</v>
      </c>
    </row>
    <row r="47" spans="2:8" x14ac:dyDescent="0.25">
      <c r="B47" s="3">
        <v>1</v>
      </c>
      <c r="C47" s="22">
        <f>C33/C5</f>
        <v>-0.95249502239920358</v>
      </c>
      <c r="D47" s="22">
        <f t="shared" ref="D47:H47" si="6">D33/D5</f>
        <v>-0.61238847820545506</v>
      </c>
      <c r="E47" s="22">
        <f t="shared" si="6"/>
        <v>-0.93294724915019511</v>
      </c>
      <c r="F47" s="22">
        <f t="shared" si="6"/>
        <v>-1.8946769605851279</v>
      </c>
      <c r="G47" s="22">
        <f t="shared" si="6"/>
        <v>-0.82954585000870018</v>
      </c>
      <c r="H47" s="23">
        <f t="shared" si="6"/>
        <v>-0.96076446019491202</v>
      </c>
    </row>
    <row r="48" spans="2:8" x14ac:dyDescent="0.25">
      <c r="B48" s="3">
        <v>2</v>
      </c>
      <c r="C48" s="22">
        <f t="shared" ref="C48:H48" si="7">C34/C6</f>
        <v>-8.2286231498243004E-2</v>
      </c>
      <c r="D48" s="22">
        <f t="shared" si="7"/>
        <v>-0.22440339692059572</v>
      </c>
      <c r="E48" s="22">
        <f t="shared" si="7"/>
        <v>-0.38595455415842217</v>
      </c>
      <c r="F48" s="22">
        <f t="shared" si="7"/>
        <v>-0.52694535381515994</v>
      </c>
      <c r="G48" s="22">
        <f t="shared" si="7"/>
        <v>-0.25266280167183497</v>
      </c>
      <c r="H48" s="23">
        <f t="shared" si="7"/>
        <v>-0.26361296617154778</v>
      </c>
    </row>
    <row r="49" spans="2:8" x14ac:dyDescent="0.25">
      <c r="B49" s="3">
        <v>3</v>
      </c>
      <c r="C49" s="22">
        <f t="shared" ref="C49:H49" si="8">C35/C7</f>
        <v>9.9883282456455381E-3</v>
      </c>
      <c r="D49" s="22">
        <f t="shared" si="8"/>
        <v>-6.7518618641079609E-2</v>
      </c>
      <c r="E49" s="22">
        <f t="shared" si="8"/>
        <v>-0.28592366412213738</v>
      </c>
      <c r="F49" s="22">
        <f t="shared" si="8"/>
        <v>-0.33582047046761976</v>
      </c>
      <c r="G49" s="22">
        <f t="shared" si="8"/>
        <v>-0.17276783407121571</v>
      </c>
      <c r="H49" s="23">
        <f t="shared" si="8"/>
        <v>-0.1552950707612851</v>
      </c>
    </row>
    <row r="50" spans="2:8" x14ac:dyDescent="0.25">
      <c r="B50" s="3">
        <v>4</v>
      </c>
      <c r="C50" s="22">
        <f t="shared" ref="C50:H50" si="9">C36/C8</f>
        <v>0.25822221106116539</v>
      </c>
      <c r="D50" s="22">
        <f t="shared" si="9"/>
        <v>0.18249501955823119</v>
      </c>
      <c r="E50" s="22">
        <f t="shared" si="9"/>
        <v>1.9881740462287284E-3</v>
      </c>
      <c r="F50" s="22">
        <f t="shared" si="9"/>
        <v>-7.3864061681263568E-2</v>
      </c>
      <c r="G50" s="22">
        <f t="shared" si="9"/>
        <v>7.6647600728892484E-2</v>
      </c>
      <c r="H50" s="23">
        <f t="shared" si="9"/>
        <v>9.7511262738923146E-2</v>
      </c>
    </row>
    <row r="51" spans="2:8" x14ac:dyDescent="0.25">
      <c r="B51" s="3">
        <v>5</v>
      </c>
      <c r="C51" s="22">
        <f t="shared" ref="C51:H51" si="10">C37/C9</f>
        <v>0.29327697924546919</v>
      </c>
      <c r="D51" s="22">
        <f t="shared" si="10"/>
        <v>0.29869050093535648</v>
      </c>
      <c r="E51" s="22">
        <f t="shared" si="10"/>
        <v>0.2982458149174434</v>
      </c>
      <c r="F51" s="22">
        <f t="shared" si="10"/>
        <v>0.2415063107800538</v>
      </c>
      <c r="G51" s="22">
        <f t="shared" si="10"/>
        <v>0.42324409524036971</v>
      </c>
      <c r="H51" s="23">
        <f t="shared" si="10"/>
        <v>0.3068392802035747</v>
      </c>
    </row>
    <row r="52" spans="2:8" ht="15.75" thickBot="1" x14ac:dyDescent="0.3">
      <c r="B52" s="11" t="s">
        <v>97</v>
      </c>
      <c r="C52" s="24">
        <f t="shared" ref="C52:H52" si="11">C38/C10</f>
        <v>9.0552026757494866E-2</v>
      </c>
      <c r="D52" s="24">
        <f t="shared" si="11"/>
        <v>8.1933484154835493E-2</v>
      </c>
      <c r="E52" s="24">
        <f t="shared" si="11"/>
        <v>2.1900670852128209E-2</v>
      </c>
      <c r="F52" s="24">
        <f t="shared" si="11"/>
        <v>-5.8472153770330215E-2</v>
      </c>
      <c r="G52" s="24">
        <f t="shared" si="11"/>
        <v>-6.0847607167848126E-5</v>
      </c>
      <c r="H52" s="25">
        <f t="shared" si="11"/>
        <v>2.7996182810198535E-2</v>
      </c>
    </row>
  </sheetData>
  <conditionalFormatting sqref="C33:H38">
    <cfRule type="cellIs" dxfId="7" priority="3" operator="lessThan">
      <formula>0</formula>
    </cfRule>
    <cfRule type="cellIs" dxfId="6" priority="4" operator="greaterThan">
      <formula>0</formula>
    </cfRule>
  </conditionalFormatting>
  <conditionalFormatting sqref="C47:H52">
    <cfRule type="cellIs" dxfId="5" priority="1" operator="lessThan">
      <formula>0</formula>
    </cfRule>
    <cfRule type="cellIs" dxfId="4" priority="2" operator="greaterThan">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73"/>
  <sheetViews>
    <sheetView topLeftCell="A42" workbookViewId="0">
      <selection activeCell="AA70" sqref="AA70"/>
    </sheetView>
  </sheetViews>
  <sheetFormatPr defaultRowHeight="15" x14ac:dyDescent="0.25"/>
  <sheetData>
    <row r="2" spans="2:27" x14ac:dyDescent="0.25">
      <c r="B2" s="7" t="s">
        <v>322</v>
      </c>
    </row>
    <row r="3" spans="2:27" x14ac:dyDescent="0.25">
      <c r="B3" s="32" t="s">
        <v>323</v>
      </c>
    </row>
    <row r="4" spans="2:27" x14ac:dyDescent="0.25">
      <c r="C4">
        <v>1999</v>
      </c>
      <c r="D4">
        <f>C4+1</f>
        <v>2000</v>
      </c>
      <c r="E4">
        <f t="shared" ref="E4:AA4" si="0">D4+1</f>
        <v>2001</v>
      </c>
      <c r="F4">
        <f t="shared" si="0"/>
        <v>2002</v>
      </c>
      <c r="G4">
        <f t="shared" si="0"/>
        <v>2003</v>
      </c>
      <c r="H4">
        <f t="shared" si="0"/>
        <v>2004</v>
      </c>
      <c r="I4">
        <f t="shared" si="0"/>
        <v>2005</v>
      </c>
      <c r="J4">
        <f t="shared" si="0"/>
        <v>2006</v>
      </c>
      <c r="K4">
        <f t="shared" si="0"/>
        <v>2007</v>
      </c>
      <c r="L4">
        <f t="shared" si="0"/>
        <v>2008</v>
      </c>
      <c r="M4">
        <f t="shared" si="0"/>
        <v>2009</v>
      </c>
      <c r="N4">
        <f t="shared" si="0"/>
        <v>2010</v>
      </c>
      <c r="O4">
        <f t="shared" si="0"/>
        <v>2011</v>
      </c>
      <c r="P4">
        <f t="shared" si="0"/>
        <v>2012</v>
      </c>
      <c r="Q4">
        <f t="shared" si="0"/>
        <v>2013</v>
      </c>
      <c r="R4">
        <f t="shared" si="0"/>
        <v>2014</v>
      </c>
      <c r="S4">
        <f t="shared" si="0"/>
        <v>2015</v>
      </c>
      <c r="T4">
        <f t="shared" si="0"/>
        <v>2016</v>
      </c>
      <c r="U4">
        <f t="shared" si="0"/>
        <v>2017</v>
      </c>
      <c r="V4">
        <f t="shared" si="0"/>
        <v>2018</v>
      </c>
      <c r="W4">
        <f t="shared" si="0"/>
        <v>2019</v>
      </c>
      <c r="X4">
        <f t="shared" si="0"/>
        <v>2020</v>
      </c>
      <c r="Y4">
        <f t="shared" si="0"/>
        <v>2021</v>
      </c>
      <c r="Z4">
        <f t="shared" si="0"/>
        <v>2022</v>
      </c>
      <c r="AA4">
        <f t="shared" si="0"/>
        <v>2023</v>
      </c>
    </row>
    <row r="5" spans="2:27" x14ac:dyDescent="0.25">
      <c r="B5" s="28" t="s">
        <v>357</v>
      </c>
    </row>
    <row r="6" spans="2:27" x14ac:dyDescent="0.25">
      <c r="B6" t="s">
        <v>178</v>
      </c>
      <c r="C6" s="13">
        <f>'All Ages Over Time Data'!B14</f>
        <v>14555</v>
      </c>
      <c r="D6" s="13">
        <f>'All Ages Over Time Data'!C14</f>
        <v>14731</v>
      </c>
      <c r="E6" s="13">
        <f>'All Ages Over Time Data'!D14</f>
        <v>15985</v>
      </c>
      <c r="F6" s="13">
        <f>'All Ages Over Time Data'!E14</f>
        <v>16110</v>
      </c>
      <c r="G6" s="13">
        <f>'All Ages Over Time Data'!F14</f>
        <v>16719</v>
      </c>
      <c r="H6" s="13">
        <f>'All Ages Over Time Data'!G14</f>
        <v>16792</v>
      </c>
      <c r="I6" s="13">
        <f>'All Ages Over Time Data'!H14</f>
        <v>16468</v>
      </c>
      <c r="J6" s="13">
        <f>'All Ages Over Time Data'!I14</f>
        <v>18060</v>
      </c>
      <c r="K6" s="13">
        <f>'All Ages Over Time Data'!J14</f>
        <v>19253</v>
      </c>
      <c r="L6" s="13">
        <f>'All Ages Over Time Data'!K14</f>
        <v>19564</v>
      </c>
      <c r="M6" s="13">
        <f>'All Ages Over Time Data'!L14</f>
        <v>20329</v>
      </c>
      <c r="N6" s="13">
        <f>'All Ages Over Time Data'!M14</f>
        <v>21011</v>
      </c>
      <c r="O6" s="13">
        <f>'All Ages Over Time Data'!N14</f>
        <v>21689</v>
      </c>
      <c r="P6" s="13">
        <f>'All Ages Over Time Data'!O14</f>
        <v>23097</v>
      </c>
      <c r="Q6" s="13">
        <f>'All Ages Over Time Data'!P14</f>
        <v>22766</v>
      </c>
      <c r="R6" s="13">
        <f>'All Ages Over Time Data'!Q14</f>
        <v>23215</v>
      </c>
      <c r="S6" s="13">
        <f>'All Ages Over Time Data'!R14</f>
        <v>22867</v>
      </c>
      <c r="T6" s="13">
        <f>'All Ages Over Time Data'!S14</f>
        <v>23637</v>
      </c>
      <c r="U6" s="13">
        <f>'All Ages Over Time Data'!T14</f>
        <v>24025</v>
      </c>
      <c r="V6" s="13">
        <f>'All Ages Over Time Data'!U14</f>
        <v>24888</v>
      </c>
      <c r="W6" s="13">
        <f>'All Ages Over Time Data'!V14</f>
        <v>25566</v>
      </c>
      <c r="X6" s="13">
        <f>'All Ages Over Time Data'!W14</f>
        <v>32930</v>
      </c>
      <c r="Y6" s="13">
        <f>'All Ages Over Time Data'!X14</f>
        <v>32346</v>
      </c>
      <c r="Z6" s="13">
        <f>'All Ages Over Time Data'!Y14</f>
        <v>31425</v>
      </c>
      <c r="AA6" s="13">
        <f>'All Ages Over Time Data'!Z14</f>
        <v>31604</v>
      </c>
    </row>
    <row r="7" spans="2:27" x14ac:dyDescent="0.25">
      <c r="B7" t="s">
        <v>179</v>
      </c>
      <c r="C7" s="13">
        <f>'All Ages Over Time Data'!B21</f>
        <v>24102</v>
      </c>
      <c r="D7" s="13">
        <f>'All Ages Over Time Data'!C21</f>
        <v>25810</v>
      </c>
      <c r="E7" s="13">
        <f>'All Ages Over Time Data'!D21</f>
        <v>25104</v>
      </c>
      <c r="F7" s="13">
        <f>'All Ages Over Time Data'!E21</f>
        <v>27210</v>
      </c>
      <c r="G7" s="13">
        <f>'All Ages Over Time Data'!F21</f>
        <v>27705</v>
      </c>
      <c r="H7" s="13">
        <f>'All Ages Over Time Data'!G21</f>
        <v>29959</v>
      </c>
      <c r="I7" s="13">
        <f>'All Ages Over Time Data'!H21</f>
        <v>32395</v>
      </c>
      <c r="J7" s="13">
        <f>'All Ages Over Time Data'!I21</f>
        <v>35870</v>
      </c>
      <c r="K7" s="13">
        <f>'All Ages Over Time Data'!J21</f>
        <v>37586</v>
      </c>
      <c r="L7" s="13">
        <f>'All Ages Over Time Data'!K21</f>
        <v>39192</v>
      </c>
      <c r="M7" s="13">
        <f>'All Ages Over Time Data'!L21</f>
        <v>38581</v>
      </c>
      <c r="N7" s="13">
        <f>'All Ages Over Time Data'!M21</f>
        <v>40596</v>
      </c>
      <c r="O7" s="13">
        <f>'All Ages Over Time Data'!N21</f>
        <v>40836</v>
      </c>
      <c r="P7" s="13">
        <f>'All Ages Over Time Data'!O21</f>
        <v>42656</v>
      </c>
      <c r="Q7" s="13">
        <f>'All Ages Over Time Data'!P21</f>
        <v>44572</v>
      </c>
      <c r="R7" s="13">
        <f>'All Ages Over Time Data'!Q21</f>
        <v>46450</v>
      </c>
      <c r="S7" s="13">
        <f>'All Ages Over Time Data'!R21</f>
        <v>47229</v>
      </c>
      <c r="T7" s="13">
        <f>'All Ages Over Time Data'!S21</f>
        <v>48530</v>
      </c>
      <c r="U7" s="13">
        <f>'All Ages Over Time Data'!T21</f>
        <v>50146</v>
      </c>
      <c r="V7" s="13">
        <f>'All Ages Over Time Data'!U21</f>
        <v>51713</v>
      </c>
      <c r="W7" s="13">
        <f>'All Ages Over Time Data'!V21</f>
        <v>55544</v>
      </c>
      <c r="X7" s="13">
        <f>'All Ages Over Time Data'!W21</f>
        <v>50287</v>
      </c>
      <c r="Y7" s="13">
        <f>'All Ages Over Time Data'!X21</f>
        <v>56338</v>
      </c>
      <c r="Z7" s="13">
        <f>'All Ages Over Time Data'!Y21</f>
        <v>60116</v>
      </c>
      <c r="AA7" s="13">
        <f>'All Ages Over Time Data'!Z21</f>
        <v>61968</v>
      </c>
    </row>
    <row r="8" spans="2:27" x14ac:dyDescent="0.25">
      <c r="B8" t="s">
        <v>180</v>
      </c>
      <c r="C8" s="20">
        <f>C6-C7</f>
        <v>-9547</v>
      </c>
      <c r="D8" s="20">
        <f>D6-D7</f>
        <v>-11079</v>
      </c>
      <c r="E8" s="20">
        <f t="shared" ref="E8:AA8" si="1">E6-E7</f>
        <v>-9119</v>
      </c>
      <c r="F8" s="20">
        <f t="shared" si="1"/>
        <v>-11100</v>
      </c>
      <c r="G8" s="20">
        <f t="shared" si="1"/>
        <v>-10986</v>
      </c>
      <c r="H8" s="20">
        <f t="shared" si="1"/>
        <v>-13167</v>
      </c>
      <c r="I8" s="20">
        <f t="shared" si="1"/>
        <v>-15927</v>
      </c>
      <c r="J8" s="20">
        <f t="shared" si="1"/>
        <v>-17810</v>
      </c>
      <c r="K8" s="20">
        <f t="shared" si="1"/>
        <v>-18333</v>
      </c>
      <c r="L8" s="20">
        <f t="shared" si="1"/>
        <v>-19628</v>
      </c>
      <c r="M8" s="20">
        <f t="shared" si="1"/>
        <v>-18252</v>
      </c>
      <c r="N8" s="20">
        <f t="shared" si="1"/>
        <v>-19585</v>
      </c>
      <c r="O8" s="20">
        <f t="shared" si="1"/>
        <v>-19147</v>
      </c>
      <c r="P8" s="20">
        <f t="shared" si="1"/>
        <v>-19559</v>
      </c>
      <c r="Q8" s="20">
        <f t="shared" si="1"/>
        <v>-21806</v>
      </c>
      <c r="R8" s="20">
        <f t="shared" si="1"/>
        <v>-23235</v>
      </c>
      <c r="S8" s="20">
        <f t="shared" si="1"/>
        <v>-24362</v>
      </c>
      <c r="T8" s="20">
        <f t="shared" si="1"/>
        <v>-24893</v>
      </c>
      <c r="U8" s="20">
        <f t="shared" si="1"/>
        <v>-26121</v>
      </c>
      <c r="V8" s="20">
        <f t="shared" si="1"/>
        <v>-26825</v>
      </c>
      <c r="W8" s="20">
        <f t="shared" si="1"/>
        <v>-29978</v>
      </c>
      <c r="X8" s="20">
        <f t="shared" si="1"/>
        <v>-17357</v>
      </c>
      <c r="Y8" s="20">
        <f t="shared" si="1"/>
        <v>-23992</v>
      </c>
      <c r="Z8" s="20">
        <f t="shared" si="1"/>
        <v>-28691</v>
      </c>
      <c r="AA8" s="20">
        <f t="shared" si="1"/>
        <v>-30364</v>
      </c>
    </row>
    <row r="9" spans="2:27" x14ac:dyDescent="0.25">
      <c r="B9" s="19" t="s">
        <v>183</v>
      </c>
      <c r="C9" s="19"/>
      <c r="D9" s="29">
        <f>D8/C8-1</f>
        <v>0.1604692573583324</v>
      </c>
      <c r="E9" s="29">
        <f t="shared" ref="E9:AA9" si="2">E8/D8-1</f>
        <v>-0.17691127358064807</v>
      </c>
      <c r="F9" s="29">
        <f t="shared" si="2"/>
        <v>0.21723873231714008</v>
      </c>
      <c r="G9" s="29">
        <f t="shared" si="2"/>
        <v>-1.0270270270270276E-2</v>
      </c>
      <c r="H9" s="29">
        <f t="shared" si="2"/>
        <v>0.19852539595849272</v>
      </c>
      <c r="I9" s="29">
        <f t="shared" si="2"/>
        <v>0.20961494645705181</v>
      </c>
      <c r="J9" s="29">
        <f t="shared" si="2"/>
        <v>0.11822691027814414</v>
      </c>
      <c r="K9" s="29">
        <f t="shared" si="2"/>
        <v>2.936552498596301E-2</v>
      </c>
      <c r="L9" s="29">
        <f t="shared" si="2"/>
        <v>7.0637647957235483E-2</v>
      </c>
      <c r="M9" s="29">
        <f t="shared" si="2"/>
        <v>-7.0103933156714926E-2</v>
      </c>
      <c r="N9" s="29">
        <f t="shared" si="2"/>
        <v>7.3033092263861565E-2</v>
      </c>
      <c r="O9" s="29">
        <f t="shared" si="2"/>
        <v>-2.2364054123053312E-2</v>
      </c>
      <c r="P9" s="29">
        <f t="shared" si="2"/>
        <v>2.1517731237269633E-2</v>
      </c>
      <c r="Q9" s="29">
        <f t="shared" si="2"/>
        <v>0.11488317398640002</v>
      </c>
      <c r="R9" s="29">
        <f t="shared" si="2"/>
        <v>6.5532422269100277E-2</v>
      </c>
      <c r="S9" s="29">
        <f t="shared" si="2"/>
        <v>4.8504411448246243E-2</v>
      </c>
      <c r="T9" s="29">
        <f t="shared" si="2"/>
        <v>2.1796240045973247E-2</v>
      </c>
      <c r="U9" s="29">
        <f t="shared" si="2"/>
        <v>4.9331137267504932E-2</v>
      </c>
      <c r="V9" s="29">
        <f t="shared" si="2"/>
        <v>2.6951494965736345E-2</v>
      </c>
      <c r="W9" s="29">
        <f t="shared" si="2"/>
        <v>0.1175396085740914</v>
      </c>
      <c r="X9" s="29">
        <f t="shared" si="2"/>
        <v>-0.42100873974247777</v>
      </c>
      <c r="Y9" s="29">
        <f t="shared" si="2"/>
        <v>0.38226652071210454</v>
      </c>
      <c r="Z9" s="29">
        <f t="shared" si="2"/>
        <v>0.19585695231743916</v>
      </c>
      <c r="AA9" s="29">
        <f t="shared" si="2"/>
        <v>5.831096859642404E-2</v>
      </c>
    </row>
    <row r="10" spans="2:27" x14ac:dyDescent="0.25">
      <c r="B10" s="19"/>
      <c r="C10" s="19"/>
      <c r="D10" s="29"/>
      <c r="E10" s="29"/>
      <c r="F10" s="29"/>
      <c r="G10" s="29"/>
      <c r="H10" s="29"/>
      <c r="I10" s="29"/>
      <c r="J10" s="29"/>
      <c r="K10" s="29"/>
      <c r="L10" s="29"/>
      <c r="M10" s="29"/>
      <c r="N10" s="29"/>
      <c r="O10" s="29"/>
      <c r="P10" s="29"/>
      <c r="Q10" s="29"/>
      <c r="R10" s="29"/>
      <c r="S10" s="29"/>
      <c r="T10" s="29"/>
      <c r="U10" s="29"/>
      <c r="V10" s="29"/>
      <c r="W10" s="29"/>
      <c r="X10" s="29"/>
      <c r="Y10" s="29"/>
      <c r="Z10" s="29"/>
      <c r="AA10" s="29"/>
    </row>
    <row r="11" spans="2:27" x14ac:dyDescent="0.25">
      <c r="B11" s="28" t="s">
        <v>358</v>
      </c>
    </row>
    <row r="12" spans="2:27" x14ac:dyDescent="0.25">
      <c r="B12" t="s">
        <v>178</v>
      </c>
      <c r="C12" s="13">
        <f>'All Ages Over Time Data'!AA14</f>
        <v>28992</v>
      </c>
      <c r="D12" s="13">
        <f>'All Ages Over Time Data'!AB14</f>
        <v>29772</v>
      </c>
      <c r="E12" s="13">
        <f>'All Ages Over Time Data'!AC14</f>
        <v>31982</v>
      </c>
      <c r="F12" s="13">
        <f>'All Ages Over Time Data'!AD14</f>
        <v>32572</v>
      </c>
      <c r="G12" s="13">
        <f>'All Ages Over Time Data'!AE14</f>
        <v>32696</v>
      </c>
      <c r="H12" s="13">
        <f>'All Ages Over Time Data'!AF14</f>
        <v>33458</v>
      </c>
      <c r="I12" s="13">
        <f>'All Ages Over Time Data'!AG14</f>
        <v>34434</v>
      </c>
      <c r="J12" s="13">
        <f>'All Ages Over Time Data'!AH14</f>
        <v>36489</v>
      </c>
      <c r="K12" s="13">
        <f>'All Ages Over Time Data'!AI14</f>
        <v>38561</v>
      </c>
      <c r="L12" s="13">
        <f>'All Ages Over Time Data'!AJ14</f>
        <v>39547</v>
      </c>
      <c r="M12" s="13">
        <f>'All Ages Over Time Data'!AK14</f>
        <v>40208</v>
      </c>
      <c r="N12" s="13">
        <f>'All Ages Over Time Data'!AL14</f>
        <v>42145</v>
      </c>
      <c r="O12" s="13">
        <f>'All Ages Over Time Data'!AM14</f>
        <v>41886</v>
      </c>
      <c r="P12" s="13">
        <f>'All Ages Over Time Data'!AN14</f>
        <v>44208</v>
      </c>
      <c r="Q12" s="13">
        <f>'All Ages Over Time Data'!AO14</f>
        <v>44566</v>
      </c>
      <c r="R12" s="13">
        <f>'All Ages Over Time Data'!AP14</f>
        <v>45820</v>
      </c>
      <c r="S12" s="13">
        <f>'All Ages Over Time Data'!AQ14</f>
        <v>47441</v>
      </c>
      <c r="T12" s="13">
        <f>'All Ages Over Time Data'!AR14</f>
        <v>50267</v>
      </c>
      <c r="U12" s="13">
        <f>'All Ages Over Time Data'!AS14</f>
        <v>50793</v>
      </c>
      <c r="V12" s="13">
        <f>'All Ages Over Time Data'!AT14</f>
        <v>50870</v>
      </c>
      <c r="W12" s="13">
        <f>'All Ages Over Time Data'!AU14</f>
        <v>51863</v>
      </c>
      <c r="X12" s="13">
        <f>'All Ages Over Time Data'!AV14</f>
        <v>61111</v>
      </c>
      <c r="Y12" s="13">
        <f>'All Ages Over Time Data'!AW14</f>
        <v>60047</v>
      </c>
      <c r="Z12" s="13">
        <f>'All Ages Over Time Data'!AX14</f>
        <v>59345</v>
      </c>
      <c r="AA12" s="13">
        <f>'All Ages Over Time Data'!AY14</f>
        <v>59447</v>
      </c>
    </row>
    <row r="13" spans="2:27" x14ac:dyDescent="0.25">
      <c r="B13" t="s">
        <v>179</v>
      </c>
      <c r="C13" s="13">
        <f>'All Ages Over Time Data'!AA21</f>
        <v>35653</v>
      </c>
      <c r="D13" s="13">
        <f>'All Ages Over Time Data'!AB21</f>
        <v>36532</v>
      </c>
      <c r="E13" s="13">
        <f>'All Ages Over Time Data'!AC21</f>
        <v>37719</v>
      </c>
      <c r="F13" s="13">
        <f>'All Ages Over Time Data'!AD21</f>
        <v>39584</v>
      </c>
      <c r="G13" s="13">
        <f>'All Ages Over Time Data'!AE21</f>
        <v>40794</v>
      </c>
      <c r="H13" s="13">
        <f>'All Ages Over Time Data'!AF21</f>
        <v>42638</v>
      </c>
      <c r="I13" s="13">
        <f>'All Ages Over Time Data'!AG21</f>
        <v>44142</v>
      </c>
      <c r="J13" s="13">
        <f>'All Ages Over Time Data'!AH21</f>
        <v>45967</v>
      </c>
      <c r="K13" s="13">
        <f>'All Ages Over Time Data'!AI21</f>
        <v>49043</v>
      </c>
      <c r="L13" s="13">
        <f>'All Ages Over Time Data'!AJ21</f>
        <v>50848</v>
      </c>
      <c r="M13" s="13">
        <f>'All Ages Over Time Data'!AK21</f>
        <v>49921</v>
      </c>
      <c r="N13" s="13">
        <f>'All Ages Over Time Data'!AL21</f>
        <v>51589</v>
      </c>
      <c r="O13" s="13">
        <f>'All Ages Over Time Data'!AM21</f>
        <v>52826</v>
      </c>
      <c r="P13" s="13">
        <f>'All Ages Over Time Data'!AN21</f>
        <v>53970</v>
      </c>
      <c r="Q13" s="13">
        <f>'All Ages Over Time Data'!AO21</f>
        <v>54322</v>
      </c>
      <c r="R13" s="13">
        <f>'All Ages Over Time Data'!AP21</f>
        <v>56149</v>
      </c>
      <c r="S13" s="13">
        <f>'All Ages Over Time Data'!AQ21</f>
        <v>58097</v>
      </c>
      <c r="T13" s="13">
        <f>'All Ages Over Time Data'!AR21</f>
        <v>59080</v>
      </c>
      <c r="U13" s="13">
        <f>'All Ages Over Time Data'!AS21</f>
        <v>60754</v>
      </c>
      <c r="V13" s="13">
        <f>'All Ages Over Time Data'!AT21</f>
        <v>63111</v>
      </c>
      <c r="W13" s="13">
        <f>'All Ages Over Time Data'!AU21</f>
        <v>65844</v>
      </c>
      <c r="X13" s="13">
        <f>'All Ages Over Time Data'!AV21</f>
        <v>61676</v>
      </c>
      <c r="Y13" s="13">
        <f>'All Ages Over Time Data'!AW21</f>
        <v>67694</v>
      </c>
      <c r="Z13" s="13">
        <f>'All Ages Over Time Data'!AX21</f>
        <v>72387</v>
      </c>
      <c r="AA13" s="13">
        <f>'All Ages Over Time Data'!AY21</f>
        <v>75118</v>
      </c>
    </row>
    <row r="14" spans="2:27" x14ac:dyDescent="0.25">
      <c r="B14" t="s">
        <v>180</v>
      </c>
      <c r="C14" s="20">
        <f>C12-C13</f>
        <v>-6661</v>
      </c>
      <c r="D14" s="20">
        <f>D12-D13</f>
        <v>-6760</v>
      </c>
      <c r="E14" s="20">
        <f t="shared" ref="E14:AA14" si="3">E12-E13</f>
        <v>-5737</v>
      </c>
      <c r="F14" s="20">
        <f t="shared" si="3"/>
        <v>-7012</v>
      </c>
      <c r="G14" s="20">
        <f t="shared" si="3"/>
        <v>-8098</v>
      </c>
      <c r="H14" s="20">
        <f t="shared" si="3"/>
        <v>-9180</v>
      </c>
      <c r="I14" s="20">
        <f t="shared" si="3"/>
        <v>-9708</v>
      </c>
      <c r="J14" s="20">
        <f t="shared" si="3"/>
        <v>-9478</v>
      </c>
      <c r="K14" s="20">
        <f t="shared" si="3"/>
        <v>-10482</v>
      </c>
      <c r="L14" s="20">
        <f t="shared" si="3"/>
        <v>-11301</v>
      </c>
      <c r="M14" s="20">
        <f t="shared" si="3"/>
        <v>-9713</v>
      </c>
      <c r="N14" s="20">
        <f t="shared" si="3"/>
        <v>-9444</v>
      </c>
      <c r="O14" s="20">
        <f t="shared" si="3"/>
        <v>-10940</v>
      </c>
      <c r="P14" s="20">
        <f t="shared" si="3"/>
        <v>-9762</v>
      </c>
      <c r="Q14" s="20">
        <f t="shared" si="3"/>
        <v>-9756</v>
      </c>
      <c r="R14" s="20">
        <f t="shared" si="3"/>
        <v>-10329</v>
      </c>
      <c r="S14" s="20">
        <f t="shared" si="3"/>
        <v>-10656</v>
      </c>
      <c r="T14" s="20">
        <f t="shared" si="3"/>
        <v>-8813</v>
      </c>
      <c r="U14" s="20">
        <f t="shared" si="3"/>
        <v>-9961</v>
      </c>
      <c r="V14" s="20">
        <f t="shared" si="3"/>
        <v>-12241</v>
      </c>
      <c r="W14" s="20">
        <f t="shared" si="3"/>
        <v>-13981</v>
      </c>
      <c r="X14" s="20">
        <f t="shared" si="3"/>
        <v>-565</v>
      </c>
      <c r="Y14" s="20">
        <f t="shared" si="3"/>
        <v>-7647</v>
      </c>
      <c r="Z14" s="20">
        <f t="shared" si="3"/>
        <v>-13042</v>
      </c>
      <c r="AA14" s="20">
        <f t="shared" si="3"/>
        <v>-15671</v>
      </c>
    </row>
    <row r="15" spans="2:27" x14ac:dyDescent="0.25">
      <c r="B15" s="19" t="s">
        <v>183</v>
      </c>
      <c r="C15" s="19"/>
      <c r="D15" s="29">
        <f>D14/C14-1</f>
        <v>1.4862633238252432E-2</v>
      </c>
      <c r="E15" s="29">
        <f t="shared" ref="E15" si="4">E14/D14-1</f>
        <v>-0.1513313609467456</v>
      </c>
      <c r="F15" s="29">
        <f t="shared" ref="F15" si="5">F14/E14-1</f>
        <v>0.22224158968101793</v>
      </c>
      <c r="G15" s="29">
        <f t="shared" ref="G15" si="6">G14/F14-1</f>
        <v>0.15487735310895601</v>
      </c>
      <c r="H15" s="29">
        <f t="shared" ref="H15" si="7">H14/G14-1</f>
        <v>0.13361323783650292</v>
      </c>
      <c r="I15" s="29">
        <f t="shared" ref="I15" si="8">I14/H14-1</f>
        <v>5.7516339869281063E-2</v>
      </c>
      <c r="J15" s="29">
        <f t="shared" ref="J15" si="9">J14/I14-1</f>
        <v>-2.3691800576843836E-2</v>
      </c>
      <c r="K15" s="29">
        <f t="shared" ref="K15" si="10">K14/J14-1</f>
        <v>0.10592952099599073</v>
      </c>
      <c r="L15" s="29">
        <f t="shared" ref="L15" si="11">L14/K14-1</f>
        <v>7.8133943903835101E-2</v>
      </c>
      <c r="M15" s="29">
        <f t="shared" ref="M15" si="12">M14/L14-1</f>
        <v>-0.14051853818246174</v>
      </c>
      <c r="N15" s="29">
        <f t="shared" ref="N15" si="13">N14/M14-1</f>
        <v>-2.7694841964377659E-2</v>
      </c>
      <c r="O15" s="29">
        <f t="shared" ref="O15" si="14">O14/N14-1</f>
        <v>0.15840745446844551</v>
      </c>
      <c r="P15" s="29">
        <f t="shared" ref="P15" si="15">P14/O14-1</f>
        <v>-0.10767824497257772</v>
      </c>
      <c r="Q15" s="29">
        <f t="shared" ref="Q15" si="16">Q14/P14-1</f>
        <v>-6.1462814996926518E-4</v>
      </c>
      <c r="R15" s="29">
        <f t="shared" ref="R15" si="17">R14/Q14-1</f>
        <v>5.8733087330873346E-2</v>
      </c>
      <c r="S15" s="29">
        <f t="shared" ref="S15" si="18">S14/R14-1</f>
        <v>3.1658437409236129E-2</v>
      </c>
      <c r="T15" s="29">
        <f t="shared" ref="T15" si="19">T14/S14-1</f>
        <v>-0.17295420420420415</v>
      </c>
      <c r="U15" s="29">
        <f t="shared" ref="U15" si="20">U14/T14-1</f>
        <v>0.13026211278792688</v>
      </c>
      <c r="V15" s="29">
        <f t="shared" ref="V15" si="21">V14/U14-1</f>
        <v>0.22889268145768504</v>
      </c>
      <c r="W15" s="29">
        <f t="shared" ref="W15" si="22">W14/V14-1</f>
        <v>0.14214524957111352</v>
      </c>
      <c r="X15" s="29">
        <f t="shared" ref="X15" si="23">X14/W14-1</f>
        <v>-0.95958801230241042</v>
      </c>
      <c r="Y15" s="29">
        <f t="shared" ref="Y15" si="24">Y14/X14-1</f>
        <v>12.534513274336284</v>
      </c>
      <c r="Z15" s="29">
        <f t="shared" ref="Z15" si="25">Z14/Y14-1</f>
        <v>0.70550542696482288</v>
      </c>
      <c r="AA15" s="29">
        <f t="shared" ref="AA15" si="26">AA14/Z14-1</f>
        <v>0.20157951234473237</v>
      </c>
    </row>
    <row r="16" spans="2:27" x14ac:dyDescent="0.25">
      <c r="B16" s="19"/>
      <c r="C16" s="19"/>
      <c r="D16" s="29"/>
      <c r="E16" s="29"/>
      <c r="F16" s="29"/>
      <c r="G16" s="29"/>
      <c r="H16" s="29"/>
      <c r="I16" s="29"/>
      <c r="J16" s="29"/>
      <c r="K16" s="29"/>
      <c r="L16" s="29"/>
      <c r="M16" s="29"/>
      <c r="N16" s="29"/>
      <c r="O16" s="29"/>
      <c r="P16" s="29"/>
      <c r="Q16" s="29"/>
      <c r="R16" s="29"/>
      <c r="S16" s="29"/>
      <c r="T16" s="29"/>
      <c r="U16" s="29"/>
      <c r="V16" s="29"/>
      <c r="W16" s="29"/>
      <c r="X16" s="29"/>
      <c r="Y16" s="29"/>
      <c r="Z16" s="29"/>
      <c r="AA16" s="29"/>
    </row>
    <row r="17" spans="2:27" x14ac:dyDescent="0.25">
      <c r="B17" s="28" t="s">
        <v>359</v>
      </c>
    </row>
    <row r="18" spans="2:27" x14ac:dyDescent="0.25">
      <c r="B18" t="s">
        <v>178</v>
      </c>
      <c r="C18" s="13">
        <f>'All Ages Over Time Data'!AZ14</f>
        <v>40456</v>
      </c>
      <c r="D18" s="13">
        <f>'All Ages Over Time Data'!BA14</f>
        <v>41187</v>
      </c>
      <c r="E18" s="13">
        <f>'All Ages Over Time Data'!BB14</f>
        <v>42930</v>
      </c>
      <c r="F18" s="13">
        <f>'All Ages Over Time Data'!BC14</f>
        <v>43409</v>
      </c>
      <c r="G18" s="13">
        <f>'All Ages Over Time Data'!BD14</f>
        <v>44902</v>
      </c>
      <c r="H18" s="13">
        <f>'All Ages Over Time Data'!BE14</f>
        <v>45754</v>
      </c>
      <c r="I18" s="13">
        <f>'All Ages Over Time Data'!BF14</f>
        <v>46857</v>
      </c>
      <c r="J18" s="13">
        <f>'All Ages Over Time Data'!BG14</f>
        <v>49509</v>
      </c>
      <c r="K18" s="13">
        <f>'All Ages Over Time Data'!BH14</f>
        <v>50906</v>
      </c>
      <c r="L18" s="13">
        <f>'All Ages Over Time Data'!BI14</f>
        <v>53477</v>
      </c>
      <c r="M18" s="13">
        <f>'All Ages Over Time Data'!BJ14</f>
        <v>54206</v>
      </c>
      <c r="N18" s="13">
        <f>'All Ages Over Time Data'!BK14</f>
        <v>57421</v>
      </c>
      <c r="O18" s="13">
        <f>'All Ages Over Time Data'!BL14</f>
        <v>58051</v>
      </c>
      <c r="P18" s="13">
        <f>'All Ages Over Time Data'!BM14</f>
        <v>59535</v>
      </c>
      <c r="Q18" s="13">
        <f>'All Ages Over Time Data'!BN14</f>
        <v>61727</v>
      </c>
      <c r="R18" s="13">
        <f>'All Ages Over Time Data'!BO14</f>
        <v>62807</v>
      </c>
      <c r="S18" s="13">
        <f>'All Ages Over Time Data'!BP14</f>
        <v>67701</v>
      </c>
      <c r="T18" s="13">
        <f>'All Ages Over Time Data'!BQ14</f>
        <v>67952</v>
      </c>
      <c r="U18" s="13">
        <f>'All Ages Over Time Data'!BR14</f>
        <v>68777</v>
      </c>
      <c r="V18" s="13">
        <f>'All Ages Over Time Data'!BS14</f>
        <v>69381</v>
      </c>
      <c r="W18" s="13">
        <f>'All Ages Over Time Data'!BT14</f>
        <v>71067</v>
      </c>
      <c r="X18" s="13">
        <f>'All Ages Over Time Data'!BU14</f>
        <v>77443</v>
      </c>
      <c r="Y18" s="13">
        <f>'All Ages Over Time Data'!BV14</f>
        <v>78610</v>
      </c>
      <c r="Z18" s="13">
        <f>'All Ages Over Time Data'!BW14</f>
        <v>78188</v>
      </c>
      <c r="AA18" s="13">
        <f>'All Ages Over Time Data'!BX14</f>
        <v>78998</v>
      </c>
    </row>
    <row r="19" spans="2:27" x14ac:dyDescent="0.25">
      <c r="B19" t="s">
        <v>179</v>
      </c>
      <c r="C19" s="13">
        <f>'All Ages Over Time Data'!AZ21</f>
        <v>45044</v>
      </c>
      <c r="D19" s="13">
        <f>'All Ages Over Time Data'!BA21</f>
        <v>46513</v>
      </c>
      <c r="E19" s="13">
        <f>'All Ages Over Time Data'!BB21</f>
        <v>48811</v>
      </c>
      <c r="F19" s="13">
        <f>'All Ages Over Time Data'!BC21</f>
        <v>50036</v>
      </c>
      <c r="G19" s="13">
        <f>'All Ages Over Time Data'!BD21</f>
        <v>51391</v>
      </c>
      <c r="H19" s="13">
        <f>'All Ages Over Time Data'!BE21</f>
        <v>52277</v>
      </c>
      <c r="I19" s="13">
        <f>'All Ages Over Time Data'!BF21</f>
        <v>54391</v>
      </c>
      <c r="J19" s="13">
        <f>'All Ages Over Time Data'!BG21</f>
        <v>56189</v>
      </c>
      <c r="K19" s="13">
        <f>'All Ages Over Time Data'!BH21</f>
        <v>58169</v>
      </c>
      <c r="L19" s="13">
        <f>'All Ages Over Time Data'!BI21</f>
        <v>59297</v>
      </c>
      <c r="M19" s="13">
        <f>'All Ages Over Time Data'!BJ21</f>
        <v>59069</v>
      </c>
      <c r="N19" s="13">
        <f>'All Ages Over Time Data'!BK21</f>
        <v>61799</v>
      </c>
      <c r="O19" s="13">
        <f>'All Ages Over Time Data'!BL21</f>
        <v>63688</v>
      </c>
      <c r="P19" s="13">
        <f>'All Ages Over Time Data'!BM21</f>
        <v>65575</v>
      </c>
      <c r="Q19" s="13">
        <f>'All Ages Over Time Data'!BN21</f>
        <v>66820</v>
      </c>
      <c r="R19" s="13">
        <f>'All Ages Over Time Data'!BO21</f>
        <v>70253</v>
      </c>
      <c r="S19" s="13">
        <f>'All Ages Over Time Data'!BP21</f>
        <v>71629</v>
      </c>
      <c r="T19" s="13">
        <f>'All Ages Over Time Data'!BQ21</f>
        <v>72369</v>
      </c>
      <c r="U19" s="13">
        <f>'All Ages Over Time Data'!BR21</f>
        <v>74090</v>
      </c>
      <c r="V19" s="13">
        <f>'All Ages Over Time Data'!BS21</f>
        <v>76698</v>
      </c>
      <c r="W19" s="13">
        <f>'All Ages Over Time Data'!BT21</f>
        <v>78509</v>
      </c>
      <c r="X19" s="13">
        <f>'All Ages Over Time Data'!BU21</f>
        <v>74897</v>
      </c>
      <c r="Y19" s="13">
        <f>'All Ages Over Time Data'!BV21</f>
        <v>82502</v>
      </c>
      <c r="Z19" s="13">
        <f>'All Ages Over Time Data'!BW21</f>
        <v>88863</v>
      </c>
      <c r="AA19" s="13">
        <f>'All Ages Over Time Data'!BX21</f>
        <v>91266</v>
      </c>
    </row>
    <row r="20" spans="2:27" x14ac:dyDescent="0.25">
      <c r="B20" t="s">
        <v>180</v>
      </c>
      <c r="C20" s="20">
        <f>C18-C19</f>
        <v>-4588</v>
      </c>
      <c r="D20" s="20">
        <f>D18-D19</f>
        <v>-5326</v>
      </c>
      <c r="E20" s="20">
        <f t="shared" ref="E20:AA20" si="27">E18-E19</f>
        <v>-5881</v>
      </c>
      <c r="F20" s="20">
        <f t="shared" si="27"/>
        <v>-6627</v>
      </c>
      <c r="G20" s="20">
        <f t="shared" si="27"/>
        <v>-6489</v>
      </c>
      <c r="H20" s="20">
        <f t="shared" si="27"/>
        <v>-6523</v>
      </c>
      <c r="I20" s="20">
        <f t="shared" si="27"/>
        <v>-7534</v>
      </c>
      <c r="J20" s="20">
        <f t="shared" si="27"/>
        <v>-6680</v>
      </c>
      <c r="K20" s="20">
        <f t="shared" si="27"/>
        <v>-7263</v>
      </c>
      <c r="L20" s="20">
        <f t="shared" si="27"/>
        <v>-5820</v>
      </c>
      <c r="M20" s="20">
        <f t="shared" si="27"/>
        <v>-4863</v>
      </c>
      <c r="N20" s="20">
        <f t="shared" si="27"/>
        <v>-4378</v>
      </c>
      <c r="O20" s="20">
        <f t="shared" si="27"/>
        <v>-5637</v>
      </c>
      <c r="P20" s="20">
        <f t="shared" si="27"/>
        <v>-6040</v>
      </c>
      <c r="Q20" s="20">
        <f t="shared" si="27"/>
        <v>-5093</v>
      </c>
      <c r="R20" s="20">
        <f t="shared" si="27"/>
        <v>-7446</v>
      </c>
      <c r="S20" s="20">
        <f t="shared" si="27"/>
        <v>-3928</v>
      </c>
      <c r="T20" s="20">
        <f t="shared" si="27"/>
        <v>-4417</v>
      </c>
      <c r="U20" s="20">
        <f t="shared" si="27"/>
        <v>-5313</v>
      </c>
      <c r="V20" s="20">
        <f t="shared" si="27"/>
        <v>-7317</v>
      </c>
      <c r="W20" s="20">
        <f t="shared" si="27"/>
        <v>-7442</v>
      </c>
      <c r="X20" s="20">
        <f t="shared" si="27"/>
        <v>2546</v>
      </c>
      <c r="Y20" s="20">
        <f t="shared" si="27"/>
        <v>-3892</v>
      </c>
      <c r="Z20" s="20">
        <f t="shared" si="27"/>
        <v>-10675</v>
      </c>
      <c r="AA20" s="20">
        <f t="shared" si="27"/>
        <v>-12268</v>
      </c>
    </row>
    <row r="21" spans="2:27" x14ac:dyDescent="0.25">
      <c r="B21" s="19" t="s">
        <v>183</v>
      </c>
      <c r="C21" s="19"/>
      <c r="D21" s="29">
        <f>D20/C20-1</f>
        <v>0.16085440278988661</v>
      </c>
      <c r="E21" s="29">
        <f t="shared" ref="E21" si="28">E20/D20-1</f>
        <v>0.10420578295155836</v>
      </c>
      <c r="F21" s="29">
        <f t="shared" ref="F21" si="29">F20/E20-1</f>
        <v>0.12684917531032136</v>
      </c>
      <c r="G21" s="29">
        <f t="shared" ref="G21" si="30">G20/F20-1</f>
        <v>-2.0823902218198298E-2</v>
      </c>
      <c r="H21" s="29">
        <f t="shared" ref="H21" si="31">H20/G20-1</f>
        <v>5.239636307597495E-3</v>
      </c>
      <c r="I21" s="29">
        <f t="shared" ref="I21" si="32">I20/H20-1</f>
        <v>0.15499003525984967</v>
      </c>
      <c r="J21" s="29">
        <f t="shared" ref="J21" si="33">J20/I20-1</f>
        <v>-0.11335280063711173</v>
      </c>
      <c r="K21" s="29">
        <f t="shared" ref="K21" si="34">K20/J20-1</f>
        <v>8.727544910179641E-2</v>
      </c>
      <c r="L21" s="29">
        <f t="shared" ref="L21" si="35">L20/K20-1</f>
        <v>-0.19867823213548119</v>
      </c>
      <c r="M21" s="29">
        <f t="shared" ref="M21" si="36">M20/L20-1</f>
        <v>-0.16443298969072162</v>
      </c>
      <c r="N21" s="29">
        <f t="shared" ref="N21" si="37">N20/M20-1</f>
        <v>-9.9732675303310758E-2</v>
      </c>
      <c r="O21" s="29">
        <f t="shared" ref="O21" si="38">O20/N20-1</f>
        <v>0.28757423481041577</v>
      </c>
      <c r="P21" s="29">
        <f t="shared" ref="P21" si="39">P20/O20-1</f>
        <v>7.1491928330672305E-2</v>
      </c>
      <c r="Q21" s="29">
        <f t="shared" ref="Q21" si="40">Q20/P20-1</f>
        <v>-0.15678807947019868</v>
      </c>
      <c r="R21" s="29">
        <f t="shared" ref="R21" si="41">R20/Q20-1</f>
        <v>0.46200667582957</v>
      </c>
      <c r="S21" s="29">
        <f t="shared" ref="S21" si="42">S20/R20-1</f>
        <v>-0.47246843943056671</v>
      </c>
      <c r="T21" s="29">
        <f t="shared" ref="T21" si="43">T20/S20-1</f>
        <v>0.12449083503054981</v>
      </c>
      <c r="U21" s="29">
        <f t="shared" ref="U21" si="44">U20/T20-1</f>
        <v>0.20285261489698891</v>
      </c>
      <c r="V21" s="29">
        <f t="shared" ref="V21" si="45">V20/U20-1</f>
        <v>0.37718802936194251</v>
      </c>
      <c r="W21" s="29">
        <f t="shared" ref="W21" si="46">W20/V20-1</f>
        <v>1.7083504168375008E-2</v>
      </c>
      <c r="X21" s="29">
        <f t="shared" ref="X21" si="47">X20/W20-1</f>
        <v>-1.3421123353937114</v>
      </c>
      <c r="Y21" s="29">
        <f t="shared" ref="Y21" si="48">Y20/X20-1</f>
        <v>-2.5286724273369989</v>
      </c>
      <c r="Z21" s="29">
        <f t="shared" ref="Z21" si="49">Z20/Y20-1</f>
        <v>1.7428057553956835</v>
      </c>
      <c r="AA21" s="29">
        <f t="shared" ref="AA21" si="50">AA20/Z20-1</f>
        <v>0.14922716627634669</v>
      </c>
    </row>
    <row r="22" spans="2:27" x14ac:dyDescent="0.25">
      <c r="B22" s="19"/>
      <c r="C22" s="19"/>
      <c r="D22" s="29"/>
      <c r="E22" s="29"/>
      <c r="F22" s="29"/>
      <c r="G22" s="29"/>
      <c r="H22" s="29"/>
      <c r="I22" s="29"/>
      <c r="J22" s="29"/>
      <c r="K22" s="29"/>
      <c r="L22" s="29"/>
      <c r="M22" s="29"/>
      <c r="N22" s="29"/>
      <c r="O22" s="29"/>
      <c r="P22" s="29"/>
      <c r="Q22" s="29"/>
      <c r="R22" s="29"/>
      <c r="S22" s="29"/>
      <c r="T22" s="29"/>
      <c r="U22" s="29"/>
      <c r="V22" s="29"/>
      <c r="W22" s="29"/>
      <c r="X22" s="29"/>
      <c r="Y22" s="29"/>
      <c r="Z22" s="29"/>
      <c r="AA22" s="29"/>
    </row>
    <row r="23" spans="2:27" x14ac:dyDescent="0.25">
      <c r="B23" s="28" t="s">
        <v>360</v>
      </c>
    </row>
    <row r="24" spans="2:27" x14ac:dyDescent="0.25">
      <c r="B24" t="s">
        <v>178</v>
      </c>
      <c r="C24" s="13">
        <f>'All Ages Over Time Data'!BY14</f>
        <v>53967</v>
      </c>
      <c r="D24" s="13">
        <f>'All Ages Over Time Data'!BZ14</f>
        <v>55257</v>
      </c>
      <c r="E24" s="13">
        <f>'All Ages Over Time Data'!CA14</f>
        <v>57948</v>
      </c>
      <c r="F24" s="13">
        <f>'All Ages Over Time Data'!CB14</f>
        <v>60528</v>
      </c>
      <c r="G24" s="13">
        <f>'All Ages Over Time Data'!CC14</f>
        <v>60636</v>
      </c>
      <c r="H24" s="13">
        <f>'All Ages Over Time Data'!CD14</f>
        <v>62590</v>
      </c>
      <c r="I24" s="13">
        <f>'All Ages Over Time Data'!CE14</f>
        <v>64135</v>
      </c>
      <c r="J24" s="13">
        <f>'All Ages Over Time Data'!CF14</f>
        <v>66336</v>
      </c>
      <c r="K24" s="13">
        <f>'All Ages Over Time Data'!CG14</f>
        <v>68644</v>
      </c>
      <c r="L24" s="13">
        <f>'All Ages Over Time Data'!CH14</f>
        <v>72288</v>
      </c>
      <c r="M24" s="13">
        <f>'All Ages Over Time Data'!CI14</f>
        <v>73812</v>
      </c>
      <c r="N24" s="13">
        <f>'All Ages Over Time Data'!CJ14</f>
        <v>77552</v>
      </c>
      <c r="O24" s="13">
        <f>'All Ages Over Time Data'!CK14</f>
        <v>79990</v>
      </c>
      <c r="P24" s="13">
        <f>'All Ages Over Time Data'!CL14</f>
        <v>81776</v>
      </c>
      <c r="Q24" s="13">
        <f>'All Ages Over Time Data'!CM14</f>
        <v>84751</v>
      </c>
      <c r="R24" s="13">
        <f>'All Ages Over Time Data'!CN14</f>
        <v>87126</v>
      </c>
      <c r="S24" s="13">
        <f>'All Ages Over Time Data'!CO14</f>
        <v>89151</v>
      </c>
      <c r="T24" s="13">
        <f>'All Ages Over Time Data'!CP14</f>
        <v>88735</v>
      </c>
      <c r="U24" s="13">
        <f>'All Ages Over Time Data'!CQ14</f>
        <v>91976</v>
      </c>
      <c r="V24" s="13">
        <f>'All Ages Over Time Data'!CR14</f>
        <v>93084</v>
      </c>
      <c r="W24" s="13">
        <f>'All Ages Over Time Data'!CS14</f>
        <v>95255</v>
      </c>
      <c r="X24" s="13">
        <f>'All Ages Over Time Data'!CT14</f>
        <v>103347</v>
      </c>
      <c r="Y24" s="13">
        <f>'All Ages Over Time Data'!CU14</f>
        <v>110037</v>
      </c>
      <c r="Z24" s="13">
        <f>'All Ages Over Time Data'!CV14</f>
        <v>110849</v>
      </c>
      <c r="AA24" s="13">
        <f>'All Ages Over Time Data'!CW14</f>
        <v>114315</v>
      </c>
    </row>
    <row r="25" spans="2:27" x14ac:dyDescent="0.25">
      <c r="B25" t="s">
        <v>179</v>
      </c>
      <c r="C25" s="13">
        <f>'All Ages Over Time Data'!BY21</f>
        <v>53527</v>
      </c>
      <c r="D25" s="13">
        <f>'All Ages Over Time Data'!BZ21</f>
        <v>56197</v>
      </c>
      <c r="E25" s="13">
        <f>'All Ages Over Time Data'!CA21</f>
        <v>58443</v>
      </c>
      <c r="F25" s="13">
        <f>'All Ages Over Time Data'!CB21</f>
        <v>60269</v>
      </c>
      <c r="G25" s="13">
        <f>'All Ages Over Time Data'!CC21</f>
        <v>63583</v>
      </c>
      <c r="H25" s="13">
        <f>'All Ages Over Time Data'!CD21</f>
        <v>63006</v>
      </c>
      <c r="I25" s="13">
        <f>'All Ages Over Time Data'!CE21</f>
        <v>65997</v>
      </c>
      <c r="J25" s="13">
        <f>'All Ages Over Time Data'!CF21</f>
        <v>67937</v>
      </c>
      <c r="K25" s="13">
        <f>'All Ages Over Time Data'!CG21</f>
        <v>70541</v>
      </c>
      <c r="L25" s="13">
        <f>'All Ages Over Time Data'!CH21</f>
        <v>73010</v>
      </c>
      <c r="M25" s="13">
        <f>'All Ages Over Time Data'!CI21</f>
        <v>72672</v>
      </c>
      <c r="N25" s="13">
        <f>'All Ages Over Time Data'!CJ21</f>
        <v>75484</v>
      </c>
      <c r="O25" s="13">
        <f>'All Ages Over Time Data'!CK21</f>
        <v>78677</v>
      </c>
      <c r="P25" s="13">
        <f>'All Ages Over Time Data'!CL21</f>
        <v>78788</v>
      </c>
      <c r="Q25" s="13">
        <f>'All Ages Over Time Data'!CM21</f>
        <v>82191</v>
      </c>
      <c r="R25" s="13">
        <f>'All Ages Over Time Data'!CN21</f>
        <v>83804</v>
      </c>
      <c r="S25" s="13">
        <f>'All Ages Over Time Data'!CO21</f>
        <v>86323</v>
      </c>
      <c r="T25" s="13">
        <f>'All Ages Over Time Data'!CP21</f>
        <v>87962</v>
      </c>
      <c r="U25" s="13">
        <f>'All Ages Over Time Data'!CQ21</f>
        <v>90370</v>
      </c>
      <c r="V25" s="13">
        <f>'All Ages Over Time Data'!CR21</f>
        <v>91346</v>
      </c>
      <c r="W25" s="13">
        <f>'All Ages Over Time Data'!CS21</f>
        <v>91588</v>
      </c>
      <c r="X25" s="13">
        <f>'All Ages Over Time Data'!CT21</f>
        <v>86472</v>
      </c>
      <c r="Y25" s="13">
        <f>'All Ages Over Time Data'!CU21</f>
        <v>94032</v>
      </c>
      <c r="Z25" s="13">
        <f>'All Ages Over Time Data'!CV21</f>
        <v>99956</v>
      </c>
      <c r="AA25" s="13">
        <f>'All Ages Over Time Data'!CW21</f>
        <v>103168</v>
      </c>
    </row>
    <row r="26" spans="2:27" x14ac:dyDescent="0.25">
      <c r="B26" t="s">
        <v>180</v>
      </c>
      <c r="C26" s="20">
        <f>C24-C25</f>
        <v>440</v>
      </c>
      <c r="D26" s="20">
        <f>D24-D25</f>
        <v>-940</v>
      </c>
      <c r="E26" s="20">
        <f t="shared" ref="E26:AA26" si="51">E24-E25</f>
        <v>-495</v>
      </c>
      <c r="F26" s="20">
        <f t="shared" si="51"/>
        <v>259</v>
      </c>
      <c r="G26" s="20">
        <f t="shared" si="51"/>
        <v>-2947</v>
      </c>
      <c r="H26" s="20">
        <f t="shared" si="51"/>
        <v>-416</v>
      </c>
      <c r="I26" s="20">
        <f t="shared" si="51"/>
        <v>-1862</v>
      </c>
      <c r="J26" s="20">
        <f t="shared" si="51"/>
        <v>-1601</v>
      </c>
      <c r="K26" s="20">
        <f t="shared" si="51"/>
        <v>-1897</v>
      </c>
      <c r="L26" s="20">
        <f t="shared" si="51"/>
        <v>-722</v>
      </c>
      <c r="M26" s="20">
        <f t="shared" si="51"/>
        <v>1140</v>
      </c>
      <c r="N26" s="20">
        <f t="shared" si="51"/>
        <v>2068</v>
      </c>
      <c r="O26" s="20">
        <f t="shared" si="51"/>
        <v>1313</v>
      </c>
      <c r="P26" s="20">
        <f t="shared" si="51"/>
        <v>2988</v>
      </c>
      <c r="Q26" s="20">
        <f t="shared" si="51"/>
        <v>2560</v>
      </c>
      <c r="R26" s="20">
        <f t="shared" si="51"/>
        <v>3322</v>
      </c>
      <c r="S26" s="20">
        <f t="shared" si="51"/>
        <v>2828</v>
      </c>
      <c r="T26" s="20">
        <f t="shared" si="51"/>
        <v>773</v>
      </c>
      <c r="U26" s="20">
        <f t="shared" si="51"/>
        <v>1606</v>
      </c>
      <c r="V26" s="20">
        <f t="shared" si="51"/>
        <v>1738</v>
      </c>
      <c r="W26" s="20">
        <f t="shared" si="51"/>
        <v>3667</v>
      </c>
      <c r="X26" s="20">
        <f t="shared" si="51"/>
        <v>16875</v>
      </c>
      <c r="Y26" s="20">
        <f t="shared" si="51"/>
        <v>16005</v>
      </c>
      <c r="Z26" s="20">
        <f t="shared" si="51"/>
        <v>10893</v>
      </c>
      <c r="AA26" s="20">
        <f t="shared" si="51"/>
        <v>11147</v>
      </c>
    </row>
    <row r="27" spans="2:27" x14ac:dyDescent="0.25">
      <c r="B27" s="19" t="s">
        <v>183</v>
      </c>
      <c r="C27" s="19"/>
      <c r="D27" s="29">
        <f>D26/C26-1</f>
        <v>-3.1363636363636362</v>
      </c>
      <c r="E27" s="29">
        <f t="shared" ref="E27" si="52">E26/D26-1</f>
        <v>-0.47340425531914898</v>
      </c>
      <c r="F27" s="29">
        <f t="shared" ref="F27" si="53">F26/E26-1</f>
        <v>-1.5232323232323233</v>
      </c>
      <c r="G27" s="29">
        <f t="shared" ref="G27" si="54">G26/F26-1</f>
        <v>-12.378378378378379</v>
      </c>
      <c r="H27" s="29">
        <f t="shared" ref="H27" si="55">H26/G26-1</f>
        <v>-0.85883949779436719</v>
      </c>
      <c r="I27" s="29">
        <f t="shared" ref="I27" si="56">I26/H26-1</f>
        <v>3.4759615384615383</v>
      </c>
      <c r="J27" s="29">
        <f t="shared" ref="J27" si="57">J26/I26-1</f>
        <v>-0.14017185821697098</v>
      </c>
      <c r="K27" s="29">
        <f t="shared" ref="K27" si="58">K26/J26-1</f>
        <v>0.18488444722048714</v>
      </c>
      <c r="L27" s="29">
        <f t="shared" ref="L27" si="59">L26/K26-1</f>
        <v>-0.61939905113336846</v>
      </c>
      <c r="M27" s="29">
        <f t="shared" ref="M27" si="60">M26/L26-1</f>
        <v>-2.5789473684210527</v>
      </c>
      <c r="N27" s="29">
        <f t="shared" ref="N27" si="61">N26/M26-1</f>
        <v>0.81403508771929833</v>
      </c>
      <c r="O27" s="29">
        <f t="shared" ref="O27" si="62">O26/N26-1</f>
        <v>-0.36508704061895547</v>
      </c>
      <c r="P27" s="29">
        <f t="shared" ref="P27" si="63">P26/O26-1</f>
        <v>1.2757044935262756</v>
      </c>
      <c r="Q27" s="29">
        <f t="shared" ref="Q27" si="64">Q26/P26-1</f>
        <v>-0.14323962516733602</v>
      </c>
      <c r="R27" s="29">
        <f t="shared" ref="R27" si="65">R26/Q26-1</f>
        <v>0.29765624999999996</v>
      </c>
      <c r="S27" s="29">
        <f t="shared" ref="S27" si="66">S26/R26-1</f>
        <v>-0.14870559903672487</v>
      </c>
      <c r="T27" s="29">
        <f t="shared" ref="T27" si="67">T26/S26-1</f>
        <v>-0.72666195190947669</v>
      </c>
      <c r="U27" s="29">
        <f t="shared" ref="U27" si="68">U26/T26-1</f>
        <v>1.0776196636481243</v>
      </c>
      <c r="V27" s="29">
        <f t="shared" ref="V27" si="69">V26/U26-1</f>
        <v>8.2191780821917915E-2</v>
      </c>
      <c r="W27" s="29">
        <f t="shared" ref="W27" si="70">W26/V26-1</f>
        <v>1.1098964326812428</v>
      </c>
      <c r="X27" s="29">
        <f t="shared" ref="X27" si="71">X26/W26-1</f>
        <v>3.6018543768748295</v>
      </c>
      <c r="Y27" s="29">
        <f t="shared" ref="Y27" si="72">Y26/X26-1</f>
        <v>-5.1555555555555577E-2</v>
      </c>
      <c r="Z27" s="29">
        <f t="shared" ref="Z27" si="73">Z26/Y26-1</f>
        <v>-0.31940018744142451</v>
      </c>
      <c r="AA27" s="29">
        <f t="shared" ref="AA27" si="74">AA26/Z26-1</f>
        <v>2.3317726980629727E-2</v>
      </c>
    </row>
    <row r="28" spans="2:27" x14ac:dyDescent="0.25">
      <c r="B28" s="19"/>
      <c r="C28" s="19"/>
      <c r="D28" s="29"/>
      <c r="E28" s="29"/>
      <c r="F28" s="29"/>
      <c r="G28" s="29"/>
      <c r="H28" s="29"/>
      <c r="I28" s="29"/>
      <c r="J28" s="29"/>
      <c r="K28" s="29"/>
      <c r="L28" s="29"/>
      <c r="M28" s="29"/>
      <c r="N28" s="29"/>
      <c r="O28" s="29"/>
      <c r="P28" s="29"/>
      <c r="Q28" s="29"/>
      <c r="R28" s="29"/>
      <c r="S28" s="29"/>
      <c r="T28" s="29"/>
      <c r="U28" s="29"/>
      <c r="V28" s="29"/>
      <c r="W28" s="29"/>
      <c r="X28" s="29"/>
      <c r="Y28" s="29"/>
      <c r="Z28" s="29"/>
      <c r="AA28" s="29"/>
    </row>
    <row r="29" spans="2:27" x14ac:dyDescent="0.25">
      <c r="B29" s="28" t="s">
        <v>361</v>
      </c>
    </row>
    <row r="30" spans="2:27" x14ac:dyDescent="0.25">
      <c r="B30" t="s">
        <v>178</v>
      </c>
      <c r="C30" s="13">
        <f>'All Ages Over Time Data'!CX14</f>
        <v>92502</v>
      </c>
      <c r="D30" s="13">
        <f>'All Ages Over Time Data'!CY14</f>
        <v>99880</v>
      </c>
      <c r="E30" s="13">
        <f>'All Ages Over Time Data'!CZ14</f>
        <v>102327</v>
      </c>
      <c r="F30" s="13">
        <f>'All Ages Over Time Data'!DA14</f>
        <v>105850</v>
      </c>
      <c r="G30" s="13">
        <f>'All Ages Over Time Data'!DB14</f>
        <v>108511</v>
      </c>
      <c r="H30" s="13">
        <f>'All Ages Over Time Data'!DC14</f>
        <v>113861</v>
      </c>
      <c r="I30" s="13">
        <f>'All Ages Over Time Data'!DD14</f>
        <v>117390</v>
      </c>
      <c r="J30" s="13">
        <f>'All Ages Over Time Data'!DE14</f>
        <v>125058</v>
      </c>
      <c r="K30" s="13">
        <f>'All Ages Over Time Data'!DF14</f>
        <v>129776</v>
      </c>
      <c r="L30" s="13">
        <f>'All Ages Over Time Data'!DG14</f>
        <v>134548</v>
      </c>
      <c r="M30" s="13">
        <f>'All Ages Over Time Data'!DH14</f>
        <v>135318</v>
      </c>
      <c r="N30" s="13">
        <f>'All Ages Over Time Data'!DI14</f>
        <v>137421</v>
      </c>
      <c r="O30" s="13">
        <f>'All Ages Over Time Data'!DJ14</f>
        <v>140240</v>
      </c>
      <c r="P30" s="13">
        <f>'All Ages Over Time Data'!DK14</f>
        <v>143724</v>
      </c>
      <c r="Q30" s="13">
        <f>'All Ages Over Time Data'!DL14</f>
        <v>150019</v>
      </c>
      <c r="R30" s="13">
        <f>'All Ages Over Time Data'!DM14</f>
        <v>152757</v>
      </c>
      <c r="S30" s="13">
        <f>'All Ages Over Time Data'!DN14</f>
        <v>158829</v>
      </c>
      <c r="T30" s="13">
        <f>'All Ages Over Time Data'!DO14</f>
        <v>152305</v>
      </c>
      <c r="U30" s="13">
        <f>'All Ages Over Time Data'!DP14</f>
        <v>158796</v>
      </c>
      <c r="V30" s="13">
        <f>'All Ages Over Time Data'!DQ14</f>
        <v>159751</v>
      </c>
      <c r="W30" s="13">
        <f>'All Ages Over Time Data'!DR14</f>
        <v>165093</v>
      </c>
      <c r="X30" s="13">
        <f>'All Ages Over Time Data'!DS14</f>
        <v>165803</v>
      </c>
      <c r="Y30" s="13">
        <f>'All Ages Over Time Data'!DT14</f>
        <v>175908</v>
      </c>
      <c r="Z30" s="13">
        <f>'All Ages Over Time Data'!DU14</f>
        <v>186643</v>
      </c>
      <c r="AA30" s="13">
        <f>'All Ages Over Time Data'!DV14</f>
        <v>197667</v>
      </c>
    </row>
    <row r="31" spans="2:27" x14ac:dyDescent="0.25">
      <c r="B31" t="s">
        <v>179</v>
      </c>
      <c r="C31" s="13">
        <f>'All Ages Over Time Data'!CX21</f>
        <v>75203</v>
      </c>
      <c r="D31" s="13">
        <f>'All Ages Over Time Data'!CY21</f>
        <v>79655</v>
      </c>
      <c r="E31" s="13">
        <f>'All Ages Over Time Data'!CZ21</f>
        <v>81051</v>
      </c>
      <c r="F31" s="13">
        <f>'All Ages Over Time Data'!DA21</f>
        <v>84998</v>
      </c>
      <c r="G31" s="13">
        <f>'All Ages Over Time Data'!DB21</f>
        <v>87129</v>
      </c>
      <c r="H31" s="13">
        <f>'All Ages Over Time Data'!DC21</f>
        <v>91512</v>
      </c>
      <c r="I31" s="13">
        <f>'All Ages Over Time Data'!DD21</f>
        <v>94322</v>
      </c>
      <c r="J31" s="13">
        <f>'All Ages Over Time Data'!DE21</f>
        <v>96839</v>
      </c>
      <c r="K31" s="13">
        <f>'All Ages Over Time Data'!DF21</f>
        <v>101472</v>
      </c>
      <c r="L31" s="13">
        <f>'All Ages Over Time Data'!DG21</f>
        <v>103040</v>
      </c>
      <c r="M31" s="13">
        <f>'All Ages Over Time Data'!DH21</f>
        <v>102500</v>
      </c>
      <c r="N31" s="13">
        <f>'All Ages Over Time Data'!DI21</f>
        <v>105584</v>
      </c>
      <c r="O31" s="13">
        <f>'All Ages Over Time Data'!DJ21</f>
        <v>107597</v>
      </c>
      <c r="P31" s="13">
        <f>'All Ages Over Time Data'!DK21</f>
        <v>110226</v>
      </c>
      <c r="Q31" s="13">
        <f>'All Ages Over Time Data'!DL21</f>
        <v>112898</v>
      </c>
      <c r="R31" s="13">
        <f>'All Ages Over Time Data'!DM21</f>
        <v>116650</v>
      </c>
      <c r="S31" s="13">
        <f>'All Ages Over Time Data'!DN21</f>
        <v>120047</v>
      </c>
      <c r="T31" s="13">
        <f>'All Ages Over Time Data'!DO21</f>
        <v>122019</v>
      </c>
      <c r="U31" s="13">
        <f>'All Ages Over Time Data'!DP21</f>
        <v>125567</v>
      </c>
      <c r="V31" s="13">
        <f>'All Ages Over Time Data'!DQ21</f>
        <v>126648</v>
      </c>
      <c r="W31" s="13">
        <f>'All Ages Over Time Data'!DR21</f>
        <v>123890</v>
      </c>
      <c r="X31" s="13">
        <f>'All Ages Over Time Data'!DS21</f>
        <v>115968</v>
      </c>
      <c r="Y31" s="13">
        <f>'All Ages Over Time Data'!DT21</f>
        <v>122068</v>
      </c>
      <c r="Z31" s="13">
        <f>'All Ages Over Time Data'!DU21</f>
        <v>132591</v>
      </c>
      <c r="AA31" s="13">
        <f>'All Ages Over Time Data'!DV21</f>
        <v>137015</v>
      </c>
    </row>
    <row r="32" spans="2:27" x14ac:dyDescent="0.25">
      <c r="B32" t="s">
        <v>180</v>
      </c>
      <c r="C32" s="20">
        <f>C30-C31</f>
        <v>17299</v>
      </c>
      <c r="D32" s="20">
        <f>D30-D31</f>
        <v>20225</v>
      </c>
      <c r="E32" s="20">
        <f t="shared" ref="E32:AA32" si="75">E30-E31</f>
        <v>21276</v>
      </c>
      <c r="F32" s="20">
        <f t="shared" si="75"/>
        <v>20852</v>
      </c>
      <c r="G32" s="20">
        <f t="shared" si="75"/>
        <v>21382</v>
      </c>
      <c r="H32" s="20">
        <f t="shared" si="75"/>
        <v>22349</v>
      </c>
      <c r="I32" s="20">
        <f t="shared" si="75"/>
        <v>23068</v>
      </c>
      <c r="J32" s="20">
        <f t="shared" si="75"/>
        <v>28219</v>
      </c>
      <c r="K32" s="20">
        <f t="shared" si="75"/>
        <v>28304</v>
      </c>
      <c r="L32" s="20">
        <f t="shared" si="75"/>
        <v>31508</v>
      </c>
      <c r="M32" s="20">
        <f t="shared" si="75"/>
        <v>32818</v>
      </c>
      <c r="N32" s="20">
        <f t="shared" si="75"/>
        <v>31837</v>
      </c>
      <c r="O32" s="20">
        <f t="shared" si="75"/>
        <v>32643</v>
      </c>
      <c r="P32" s="20">
        <f t="shared" si="75"/>
        <v>33498</v>
      </c>
      <c r="Q32" s="20">
        <f t="shared" si="75"/>
        <v>37121</v>
      </c>
      <c r="R32" s="20">
        <f t="shared" si="75"/>
        <v>36107</v>
      </c>
      <c r="S32" s="20">
        <f t="shared" si="75"/>
        <v>38782</v>
      </c>
      <c r="T32" s="20">
        <f t="shared" si="75"/>
        <v>30286</v>
      </c>
      <c r="U32" s="20">
        <f t="shared" si="75"/>
        <v>33229</v>
      </c>
      <c r="V32" s="20">
        <f t="shared" si="75"/>
        <v>33103</v>
      </c>
      <c r="W32" s="20">
        <f t="shared" si="75"/>
        <v>41203</v>
      </c>
      <c r="X32" s="20">
        <f t="shared" si="75"/>
        <v>49835</v>
      </c>
      <c r="Y32" s="20">
        <f t="shared" si="75"/>
        <v>53840</v>
      </c>
      <c r="Z32" s="20">
        <f t="shared" si="75"/>
        <v>54052</v>
      </c>
      <c r="AA32" s="20">
        <f t="shared" si="75"/>
        <v>60652</v>
      </c>
    </row>
    <row r="33" spans="2:27" x14ac:dyDescent="0.25">
      <c r="B33" t="s">
        <v>183</v>
      </c>
      <c r="C33" s="19"/>
      <c r="D33" s="29">
        <f>D32/C32-1</f>
        <v>0.16914272501300642</v>
      </c>
      <c r="E33" s="29">
        <f t="shared" ref="E33:AA33" si="76">E32/D32-1</f>
        <v>5.1965389369592163E-2</v>
      </c>
      <c r="F33" s="29">
        <f t="shared" si="76"/>
        <v>-1.9928557999624008E-2</v>
      </c>
      <c r="G33" s="29">
        <f t="shared" si="76"/>
        <v>2.54172261653558E-2</v>
      </c>
      <c r="H33" s="29">
        <f t="shared" si="76"/>
        <v>4.522495557010564E-2</v>
      </c>
      <c r="I33" s="29">
        <f t="shared" si="76"/>
        <v>3.2171461810371893E-2</v>
      </c>
      <c r="J33" s="29">
        <f t="shared" si="76"/>
        <v>0.22329634125195086</v>
      </c>
      <c r="K33" s="29">
        <f t="shared" si="76"/>
        <v>3.012154931074873E-3</v>
      </c>
      <c r="L33" s="29">
        <f t="shared" si="76"/>
        <v>0.11319954776709995</v>
      </c>
      <c r="M33" s="29">
        <f t="shared" si="76"/>
        <v>4.1576742414624945E-2</v>
      </c>
      <c r="N33" s="29">
        <f t="shared" si="76"/>
        <v>-2.9892132366384327E-2</v>
      </c>
      <c r="O33" s="29">
        <f t="shared" si="76"/>
        <v>2.5316455696202445E-2</v>
      </c>
      <c r="P33" s="29">
        <f t="shared" si="76"/>
        <v>2.6192445547284171E-2</v>
      </c>
      <c r="Q33" s="29">
        <f t="shared" si="76"/>
        <v>0.1081557107887039</v>
      </c>
      <c r="R33" s="29">
        <f t="shared" si="76"/>
        <v>-2.7316074459201034E-2</v>
      </c>
      <c r="S33" s="29">
        <f t="shared" si="76"/>
        <v>7.4085357409920505E-2</v>
      </c>
      <c r="T33" s="29">
        <f t="shared" si="76"/>
        <v>-0.2190707029034088</v>
      </c>
      <c r="U33" s="29">
        <f t="shared" si="76"/>
        <v>9.7173611569702167E-2</v>
      </c>
      <c r="V33" s="29">
        <f t="shared" si="76"/>
        <v>-3.7918685485569537E-3</v>
      </c>
      <c r="W33" s="29">
        <f t="shared" si="76"/>
        <v>0.24469081352143318</v>
      </c>
      <c r="X33" s="29">
        <f t="shared" si="76"/>
        <v>0.2094993083027934</v>
      </c>
      <c r="Y33" s="29">
        <f t="shared" si="76"/>
        <v>8.0365205177084453E-2</v>
      </c>
      <c r="Z33" s="29">
        <f t="shared" si="76"/>
        <v>3.937592867756301E-3</v>
      </c>
      <c r="AA33" s="29">
        <f t="shared" si="76"/>
        <v>0.12210463997631904</v>
      </c>
    </row>
    <row r="35" spans="2:27" x14ac:dyDescent="0.25">
      <c r="B35" t="s">
        <v>186</v>
      </c>
      <c r="C35" s="30">
        <f>CPI!B12</f>
        <v>92.9</v>
      </c>
      <c r="D35" s="30">
        <f>CPI!C12</f>
        <v>95.4</v>
      </c>
      <c r="E35" s="30">
        <f>CPI!D12</f>
        <v>97.8</v>
      </c>
      <c r="F35" s="30">
        <f>CPI!E12</f>
        <v>100</v>
      </c>
      <c r="G35" s="30">
        <f>CPI!F12</f>
        <v>102.8</v>
      </c>
      <c r="H35" s="30">
        <f>CPI!G12</f>
        <v>104.7</v>
      </c>
      <c r="I35" s="30">
        <f>CPI!H12</f>
        <v>107</v>
      </c>
      <c r="J35" s="30">
        <f>CPI!I12</f>
        <v>109.1</v>
      </c>
      <c r="K35" s="30">
        <f>CPI!J12</f>
        <v>111.5</v>
      </c>
      <c r="L35" s="30">
        <f>CPI!K12</f>
        <v>114.1</v>
      </c>
      <c r="M35" s="30">
        <f>CPI!L12</f>
        <v>114.4</v>
      </c>
      <c r="N35" s="30">
        <f>CPI!M12</f>
        <v>116.5</v>
      </c>
      <c r="O35" s="30">
        <f>CPI!N12</f>
        <v>119.9</v>
      </c>
      <c r="P35" s="30">
        <f>CPI!O12</f>
        <v>121.7</v>
      </c>
      <c r="Q35" s="30">
        <f>CPI!P12</f>
        <v>122.8</v>
      </c>
      <c r="R35" s="30">
        <f>CPI!Q12</f>
        <v>125.2</v>
      </c>
      <c r="S35" s="30">
        <f>CPI!R12</f>
        <v>126.6</v>
      </c>
      <c r="T35" s="30">
        <f>CPI!S12</f>
        <v>128.4</v>
      </c>
      <c r="U35" s="30">
        <f>CPI!T12</f>
        <v>130.4</v>
      </c>
      <c r="V35" s="30">
        <f>CPI!U12</f>
        <v>133.4</v>
      </c>
      <c r="W35" s="30">
        <f>CPI!V12</f>
        <v>136</v>
      </c>
      <c r="X35" s="30">
        <f>CPI!W12</f>
        <v>137</v>
      </c>
      <c r="Y35" s="30">
        <f>CPI!X12</f>
        <v>141.6</v>
      </c>
      <c r="Z35" s="30">
        <f>CPI!Y12</f>
        <v>151.19999999999999</v>
      </c>
      <c r="AA35" s="30">
        <f>CPI!Z12</f>
        <v>157.1</v>
      </c>
    </row>
    <row r="37" spans="2:27" x14ac:dyDescent="0.25">
      <c r="B37" s="7" t="s">
        <v>184</v>
      </c>
    </row>
    <row r="38" spans="2:27" x14ac:dyDescent="0.25">
      <c r="B38" s="32" t="s">
        <v>324</v>
      </c>
    </row>
    <row r="39" spans="2:27" x14ac:dyDescent="0.25">
      <c r="C39">
        <v>1999</v>
      </c>
      <c r="D39">
        <f>C39+1</f>
        <v>2000</v>
      </c>
      <c r="E39">
        <f t="shared" ref="E39:AA39" si="77">D39+1</f>
        <v>2001</v>
      </c>
      <c r="F39">
        <f t="shared" si="77"/>
        <v>2002</v>
      </c>
      <c r="G39">
        <f t="shared" si="77"/>
        <v>2003</v>
      </c>
      <c r="H39">
        <f t="shared" si="77"/>
        <v>2004</v>
      </c>
      <c r="I39">
        <f t="shared" si="77"/>
        <v>2005</v>
      </c>
      <c r="J39">
        <f t="shared" si="77"/>
        <v>2006</v>
      </c>
      <c r="K39">
        <f t="shared" si="77"/>
        <v>2007</v>
      </c>
      <c r="L39">
        <f t="shared" si="77"/>
        <v>2008</v>
      </c>
      <c r="M39">
        <f t="shared" si="77"/>
        <v>2009</v>
      </c>
      <c r="N39">
        <f t="shared" si="77"/>
        <v>2010</v>
      </c>
      <c r="O39">
        <f t="shared" si="77"/>
        <v>2011</v>
      </c>
      <c r="P39">
        <f t="shared" si="77"/>
        <v>2012</v>
      </c>
      <c r="Q39">
        <f t="shared" si="77"/>
        <v>2013</v>
      </c>
      <c r="R39">
        <f t="shared" si="77"/>
        <v>2014</v>
      </c>
      <c r="S39">
        <f t="shared" si="77"/>
        <v>2015</v>
      </c>
      <c r="T39">
        <f t="shared" si="77"/>
        <v>2016</v>
      </c>
      <c r="U39">
        <f t="shared" si="77"/>
        <v>2017</v>
      </c>
      <c r="V39">
        <f t="shared" si="77"/>
        <v>2018</v>
      </c>
      <c r="W39">
        <f t="shared" si="77"/>
        <v>2019</v>
      </c>
      <c r="X39">
        <f t="shared" si="77"/>
        <v>2020</v>
      </c>
      <c r="Y39">
        <f t="shared" si="77"/>
        <v>2021</v>
      </c>
      <c r="Z39">
        <f t="shared" si="77"/>
        <v>2022</v>
      </c>
      <c r="AA39">
        <f t="shared" si="77"/>
        <v>2023</v>
      </c>
    </row>
    <row r="40" spans="2:27" x14ac:dyDescent="0.25">
      <c r="B40" s="28" t="s">
        <v>357</v>
      </c>
    </row>
    <row r="41" spans="2:27" x14ac:dyDescent="0.25">
      <c r="B41" t="s">
        <v>178</v>
      </c>
      <c r="C41" s="15">
        <f>C6*($AA$35/C$35)</f>
        <v>24613.460710441334</v>
      </c>
      <c r="D41" s="15">
        <f t="shared" ref="D41:AA41" si="78">D6*($AA$35/D$35)</f>
        <v>24258.281970649892</v>
      </c>
      <c r="E41" s="15">
        <f t="shared" si="78"/>
        <v>25677.336400817996</v>
      </c>
      <c r="F41" s="15">
        <f t="shared" si="78"/>
        <v>25308.809999999998</v>
      </c>
      <c r="G41" s="15">
        <f t="shared" si="78"/>
        <v>25550.14494163424</v>
      </c>
      <c r="H41" s="15">
        <f t="shared" si="78"/>
        <v>25196.019102196751</v>
      </c>
      <c r="I41" s="15">
        <f t="shared" si="78"/>
        <v>24178.717757009344</v>
      </c>
      <c r="J41" s="15">
        <f t="shared" si="78"/>
        <v>26005.737855178737</v>
      </c>
      <c r="K41" s="15">
        <f t="shared" si="78"/>
        <v>27126.87264573991</v>
      </c>
      <c r="L41" s="15">
        <f t="shared" si="78"/>
        <v>26936.936021034184</v>
      </c>
      <c r="M41" s="15">
        <f t="shared" si="78"/>
        <v>27916.834790209788</v>
      </c>
      <c r="N41" s="15">
        <f t="shared" si="78"/>
        <v>28333.288412017166</v>
      </c>
      <c r="O41" s="15">
        <f t="shared" si="78"/>
        <v>28418.197664720599</v>
      </c>
      <c r="P41" s="15">
        <f t="shared" si="78"/>
        <v>29815.437140509446</v>
      </c>
      <c r="Q41" s="15">
        <f t="shared" si="78"/>
        <v>29124.907166123779</v>
      </c>
      <c r="R41" s="15">
        <f t="shared" si="78"/>
        <v>29130.003993610222</v>
      </c>
      <c r="S41" s="15">
        <f t="shared" si="78"/>
        <v>28376.032385466035</v>
      </c>
      <c r="T41" s="15">
        <f t="shared" si="78"/>
        <v>28920.348130841117</v>
      </c>
      <c r="U41" s="15">
        <f t="shared" si="78"/>
        <v>28944.229294478526</v>
      </c>
      <c r="V41" s="15">
        <f t="shared" si="78"/>
        <v>29309.631184407794</v>
      </c>
      <c r="W41" s="15">
        <f t="shared" si="78"/>
        <v>29532.489705882352</v>
      </c>
      <c r="X41" s="15">
        <f t="shared" si="78"/>
        <v>37761.335766423355</v>
      </c>
      <c r="Y41" s="15">
        <f t="shared" si="78"/>
        <v>35886.69915254238</v>
      </c>
      <c r="Z41" s="15">
        <f t="shared" si="78"/>
        <v>32651.240079365078</v>
      </c>
      <c r="AA41" s="15">
        <f t="shared" si="78"/>
        <v>31604</v>
      </c>
    </row>
    <row r="42" spans="2:27" x14ac:dyDescent="0.25">
      <c r="B42" t="s">
        <v>179</v>
      </c>
      <c r="C42" s="15">
        <f t="shared" ref="C42:AA42" si="79">C7*($AA$35/C$35)</f>
        <v>40758.064585575885</v>
      </c>
      <c r="D42" s="15">
        <f t="shared" si="79"/>
        <v>42502.631027253665</v>
      </c>
      <c r="E42" s="15">
        <f t="shared" si="79"/>
        <v>40325.546012269937</v>
      </c>
      <c r="F42" s="15">
        <f t="shared" si="79"/>
        <v>42746.909999999996</v>
      </c>
      <c r="G42" s="15">
        <f t="shared" si="79"/>
        <v>42339.061284046693</v>
      </c>
      <c r="H42" s="15">
        <f t="shared" si="79"/>
        <v>44952.807067812799</v>
      </c>
      <c r="I42" s="15">
        <f t="shared" si="79"/>
        <v>47563.126168224291</v>
      </c>
      <c r="J42" s="15">
        <f t="shared" si="79"/>
        <v>51651.484876260314</v>
      </c>
      <c r="K42" s="15">
        <f t="shared" si="79"/>
        <v>52957.494170403588</v>
      </c>
      <c r="L42" s="15">
        <f t="shared" si="79"/>
        <v>53961.991235758112</v>
      </c>
      <c r="M42" s="15">
        <f t="shared" si="79"/>
        <v>52981.425699300693</v>
      </c>
      <c r="N42" s="15">
        <f t="shared" si="79"/>
        <v>54743.618884120173</v>
      </c>
      <c r="O42" s="15">
        <f t="shared" si="79"/>
        <v>53505.718098415346</v>
      </c>
      <c r="P42" s="15">
        <f t="shared" si="79"/>
        <v>55063.743631881676</v>
      </c>
      <c r="Q42" s="15">
        <f t="shared" si="79"/>
        <v>57021.671009771984</v>
      </c>
      <c r="R42" s="15">
        <f t="shared" si="79"/>
        <v>58285.103833865811</v>
      </c>
      <c r="S42" s="15">
        <f t="shared" si="79"/>
        <v>58607.234597156392</v>
      </c>
      <c r="T42" s="15">
        <f t="shared" si="79"/>
        <v>59377.437694704044</v>
      </c>
      <c r="U42" s="15">
        <f t="shared" si="79"/>
        <v>60413.62423312883</v>
      </c>
      <c r="V42" s="15">
        <f t="shared" si="79"/>
        <v>60900.39205397301</v>
      </c>
      <c r="W42" s="15">
        <f t="shared" si="79"/>
        <v>64161.488235294113</v>
      </c>
      <c r="X42" s="15">
        <f t="shared" si="79"/>
        <v>57664.87372262773</v>
      </c>
      <c r="Y42" s="15">
        <f t="shared" si="79"/>
        <v>62504.942090395489</v>
      </c>
      <c r="Z42" s="15">
        <f t="shared" si="79"/>
        <v>62461.796296296292</v>
      </c>
      <c r="AA42" s="15">
        <f t="shared" si="79"/>
        <v>61968</v>
      </c>
    </row>
    <row r="43" spans="2:27" x14ac:dyDescent="0.25">
      <c r="B43" t="s">
        <v>180</v>
      </c>
      <c r="C43" s="31">
        <f>C41-C42</f>
        <v>-16144.603875134551</v>
      </c>
      <c r="D43" s="31">
        <f>D41-D42</f>
        <v>-18244.349056603773</v>
      </c>
      <c r="E43" s="31">
        <f t="shared" ref="E43:AA43" si="80">E41-E42</f>
        <v>-14648.209611451941</v>
      </c>
      <c r="F43" s="31">
        <f t="shared" si="80"/>
        <v>-17438.099999999999</v>
      </c>
      <c r="G43" s="31">
        <f t="shared" si="80"/>
        <v>-16788.916342412453</v>
      </c>
      <c r="H43" s="31">
        <f t="shared" si="80"/>
        <v>-19756.787965616048</v>
      </c>
      <c r="I43" s="31">
        <f t="shared" si="80"/>
        <v>-23384.408411214947</v>
      </c>
      <c r="J43" s="31">
        <f t="shared" si="80"/>
        <v>-25645.747021081577</v>
      </c>
      <c r="K43" s="31">
        <f t="shared" si="80"/>
        <v>-25830.621524663678</v>
      </c>
      <c r="L43" s="31">
        <f t="shared" si="80"/>
        <v>-27025.055214723929</v>
      </c>
      <c r="M43" s="31">
        <f t="shared" si="80"/>
        <v>-25064.590909090904</v>
      </c>
      <c r="N43" s="31">
        <f t="shared" si="80"/>
        <v>-26410.330472103007</v>
      </c>
      <c r="O43" s="31">
        <f t="shared" si="80"/>
        <v>-25087.520433694746</v>
      </c>
      <c r="P43" s="31">
        <f t="shared" si="80"/>
        <v>-25248.30649137223</v>
      </c>
      <c r="Q43" s="31">
        <f t="shared" si="80"/>
        <v>-27896.763843648205</v>
      </c>
      <c r="R43" s="31">
        <f t="shared" si="80"/>
        <v>-29155.099840255589</v>
      </c>
      <c r="S43" s="31">
        <f t="shared" si="80"/>
        <v>-30231.202211690357</v>
      </c>
      <c r="T43" s="31">
        <f t="shared" si="80"/>
        <v>-30457.089563862926</v>
      </c>
      <c r="U43" s="31">
        <f t="shared" si="80"/>
        <v>-31469.394938650305</v>
      </c>
      <c r="V43" s="31">
        <f t="shared" si="80"/>
        <v>-31590.760869565216</v>
      </c>
      <c r="W43" s="31">
        <f t="shared" si="80"/>
        <v>-34628.998529411765</v>
      </c>
      <c r="X43" s="31">
        <f t="shared" si="80"/>
        <v>-19903.537956204374</v>
      </c>
      <c r="Y43" s="31">
        <f t="shared" si="80"/>
        <v>-26618.242937853109</v>
      </c>
      <c r="Z43" s="31">
        <f t="shared" si="80"/>
        <v>-29810.556216931214</v>
      </c>
      <c r="AA43" s="31">
        <f t="shared" si="80"/>
        <v>-30364</v>
      </c>
    </row>
    <row r="44" spans="2:27" x14ac:dyDescent="0.25">
      <c r="B44" s="19" t="s">
        <v>183</v>
      </c>
      <c r="C44" s="19"/>
      <c r="D44" s="29">
        <f>D43/C43-1</f>
        <v>0.13005863740659418</v>
      </c>
      <c r="E44" s="29">
        <f t="shared" ref="E44:AA44" si="81">E43/D43-1</f>
        <v>-0.19710976993449725</v>
      </c>
      <c r="F44" s="29">
        <f t="shared" si="81"/>
        <v>0.19045948020616299</v>
      </c>
      <c r="G44" s="29">
        <f t="shared" si="81"/>
        <v>-3.722788936796706E-2</v>
      </c>
      <c r="H44" s="29">
        <f t="shared" si="81"/>
        <v>0.17677565142820484</v>
      </c>
      <c r="I44" s="29">
        <f t="shared" si="81"/>
        <v>0.18361387751451663</v>
      </c>
      <c r="J44" s="29">
        <f t="shared" si="81"/>
        <v>9.6702835928152542E-2</v>
      </c>
      <c r="K44" s="29">
        <f t="shared" si="81"/>
        <v>7.2087782598078132E-3</v>
      </c>
      <c r="L44" s="29">
        <f t="shared" si="81"/>
        <v>4.6240996908254006E-2</v>
      </c>
      <c r="M44" s="29">
        <f t="shared" si="81"/>
        <v>-7.2542471793541896E-2</v>
      </c>
      <c r="N44" s="29">
        <f t="shared" si="81"/>
        <v>5.3690864849663456E-2</v>
      </c>
      <c r="O44" s="29">
        <f t="shared" si="81"/>
        <v>-5.0086841579113695E-2</v>
      </c>
      <c r="P44" s="29">
        <f t="shared" si="81"/>
        <v>6.4090055492902476E-3</v>
      </c>
      <c r="Q44" s="29">
        <f t="shared" si="81"/>
        <v>0.10489643545720573</v>
      </c>
      <c r="R44" s="29">
        <f t="shared" si="81"/>
        <v>4.5106880628159152E-2</v>
      </c>
      <c r="S44" s="29">
        <f t="shared" si="81"/>
        <v>3.6909575934600314E-2</v>
      </c>
      <c r="T44" s="29">
        <f t="shared" si="81"/>
        <v>7.4719936901888051E-3</v>
      </c>
      <c r="U44" s="29">
        <f t="shared" si="81"/>
        <v>3.3237101419843817E-2</v>
      </c>
      <c r="V44" s="29">
        <f t="shared" si="81"/>
        <v>3.8566337596104283E-3</v>
      </c>
      <c r="W44" s="29">
        <f t="shared" si="81"/>
        <v>9.6174880763116199E-2</v>
      </c>
      <c r="X44" s="29">
        <f t="shared" si="81"/>
        <v>-0.42523495332100003</v>
      </c>
      <c r="Y44" s="29">
        <f t="shared" si="81"/>
        <v>0.33736238232738969</v>
      </c>
      <c r="Z44" s="29">
        <f t="shared" si="81"/>
        <v>0.11992952677347457</v>
      </c>
      <c r="AA44" s="29">
        <f t="shared" si="81"/>
        <v>1.8565362519282758E-2</v>
      </c>
    </row>
    <row r="45" spans="2:27" x14ac:dyDescent="0.25">
      <c r="B45" s="19"/>
      <c r="C45" s="19"/>
      <c r="D45" s="29"/>
      <c r="E45" s="29"/>
      <c r="F45" s="29"/>
      <c r="G45" s="29"/>
      <c r="H45" s="29"/>
      <c r="I45" s="29"/>
      <c r="J45" s="29"/>
      <c r="K45" s="29"/>
      <c r="L45" s="29"/>
      <c r="M45" s="29"/>
      <c r="N45" s="29"/>
      <c r="O45" s="29"/>
      <c r="P45" s="29"/>
      <c r="Q45" s="29"/>
      <c r="R45" s="29"/>
      <c r="S45" s="29"/>
      <c r="T45" s="29"/>
      <c r="U45" s="29"/>
      <c r="V45" s="29"/>
      <c r="W45" s="29"/>
      <c r="X45" s="29"/>
      <c r="Y45" s="29"/>
      <c r="Z45" s="29"/>
      <c r="AA45" s="29"/>
    </row>
    <row r="46" spans="2:27" x14ac:dyDescent="0.25">
      <c r="B46" s="28" t="s">
        <v>358</v>
      </c>
    </row>
    <row r="47" spans="2:27" x14ac:dyDescent="0.25">
      <c r="B47" t="s">
        <v>178</v>
      </c>
      <c r="C47" s="15">
        <f>C12*($AA$35/C$35)</f>
        <v>49027.375672766408</v>
      </c>
      <c r="D47" s="15">
        <f t="shared" ref="D47:AA47" si="82">D12*($AA$35/D$35)</f>
        <v>49027.056603773584</v>
      </c>
      <c r="E47" s="15">
        <f t="shared" si="82"/>
        <v>51373.948875255621</v>
      </c>
      <c r="F47" s="15">
        <f t="shared" si="82"/>
        <v>51170.612000000001</v>
      </c>
      <c r="G47" s="15">
        <f t="shared" si="82"/>
        <v>49966.357976653693</v>
      </c>
      <c r="H47" s="15">
        <f t="shared" si="82"/>
        <v>50202.978032473737</v>
      </c>
      <c r="I47" s="15">
        <f t="shared" si="82"/>
        <v>50556.835514018683</v>
      </c>
      <c r="J47" s="15">
        <f t="shared" si="82"/>
        <v>52542.82218148488</v>
      </c>
      <c r="K47" s="15">
        <f t="shared" si="82"/>
        <v>54331.238565022417</v>
      </c>
      <c r="L47" s="15">
        <f t="shared" si="82"/>
        <v>54450.77738825592</v>
      </c>
      <c r="M47" s="15">
        <f t="shared" si="82"/>
        <v>55215.706293706287</v>
      </c>
      <c r="N47" s="15">
        <f t="shared" si="82"/>
        <v>56832.442060085836</v>
      </c>
      <c r="O47" s="15">
        <f t="shared" si="82"/>
        <v>54881.489574645537</v>
      </c>
      <c r="P47" s="15">
        <f t="shared" si="82"/>
        <v>57067.188167625303</v>
      </c>
      <c r="Q47" s="15">
        <f t="shared" si="82"/>
        <v>57013.995114006517</v>
      </c>
      <c r="R47" s="15">
        <f t="shared" si="82"/>
        <v>57494.584664536735</v>
      </c>
      <c r="S47" s="15">
        <f t="shared" si="82"/>
        <v>58870.308846761451</v>
      </c>
      <c r="T47" s="15">
        <f t="shared" si="82"/>
        <v>61502.692367601237</v>
      </c>
      <c r="U47" s="15">
        <f t="shared" si="82"/>
        <v>61193.100460122696</v>
      </c>
      <c r="V47" s="15">
        <f t="shared" si="82"/>
        <v>59907.623688155916</v>
      </c>
      <c r="W47" s="15">
        <f t="shared" si="82"/>
        <v>59909.391911764702</v>
      </c>
      <c r="X47" s="15">
        <f t="shared" si="82"/>
        <v>70076.9204379562</v>
      </c>
      <c r="Y47" s="15">
        <f t="shared" si="82"/>
        <v>66619.941384180798</v>
      </c>
      <c r="Z47" s="15">
        <f t="shared" si="82"/>
        <v>61660.710978835974</v>
      </c>
      <c r="AA47" s="15">
        <f t="shared" si="82"/>
        <v>59447</v>
      </c>
    </row>
    <row r="48" spans="2:27" x14ac:dyDescent="0.25">
      <c r="B48" t="s">
        <v>179</v>
      </c>
      <c r="C48" s="15">
        <f t="shared" ref="C48:AA48" si="83">C13*($AA$35/C$35)</f>
        <v>60291.56404736275</v>
      </c>
      <c r="D48" s="15">
        <f t="shared" si="83"/>
        <v>60159.090146750517</v>
      </c>
      <c r="E48" s="15">
        <f t="shared" si="83"/>
        <v>60589.518404907969</v>
      </c>
      <c r="F48" s="15">
        <f t="shared" si="83"/>
        <v>62186.464</v>
      </c>
      <c r="G48" s="15">
        <f t="shared" si="83"/>
        <v>62341.80350194552</v>
      </c>
      <c r="H48" s="15">
        <f t="shared" si="83"/>
        <v>63977.361986628457</v>
      </c>
      <c r="I48" s="15">
        <f t="shared" si="83"/>
        <v>64810.357009345789</v>
      </c>
      <c r="J48" s="15">
        <f t="shared" si="83"/>
        <v>66190.794683776359</v>
      </c>
      <c r="K48" s="15">
        <f t="shared" si="83"/>
        <v>69100.047533632285</v>
      </c>
      <c r="L48" s="15">
        <f t="shared" si="83"/>
        <v>70010.699386503067</v>
      </c>
      <c r="M48" s="15">
        <f t="shared" si="83"/>
        <v>68554.100524475522</v>
      </c>
      <c r="N48" s="15">
        <f t="shared" si="83"/>
        <v>69567.65579399142</v>
      </c>
      <c r="O48" s="15">
        <f t="shared" si="83"/>
        <v>69215.718098415338</v>
      </c>
      <c r="P48" s="15">
        <f t="shared" si="83"/>
        <v>69668.751027115854</v>
      </c>
      <c r="Q48" s="15">
        <f t="shared" si="83"/>
        <v>69495.001628664497</v>
      </c>
      <c r="R48" s="15">
        <f t="shared" si="83"/>
        <v>70455.334664536742</v>
      </c>
      <c r="S48" s="15">
        <f t="shared" si="83"/>
        <v>72093.512638230648</v>
      </c>
      <c r="T48" s="15">
        <f t="shared" si="83"/>
        <v>72285.576323987523</v>
      </c>
      <c r="U48" s="15">
        <f t="shared" si="83"/>
        <v>73193.66104294479</v>
      </c>
      <c r="V48" s="15">
        <f t="shared" si="83"/>
        <v>74323.37406296852</v>
      </c>
      <c r="W48" s="15">
        <f t="shared" si="83"/>
        <v>76059.50294117647</v>
      </c>
      <c r="X48" s="15">
        <f t="shared" si="83"/>
        <v>70724.814598540135</v>
      </c>
      <c r="Y48" s="15">
        <f t="shared" si="83"/>
        <v>75104.007062146906</v>
      </c>
      <c r="Z48" s="15">
        <f t="shared" si="83"/>
        <v>75211.625</v>
      </c>
      <c r="AA48" s="15">
        <f t="shared" si="83"/>
        <v>75118</v>
      </c>
    </row>
    <row r="49" spans="2:27" x14ac:dyDescent="0.25">
      <c r="B49" t="s">
        <v>180</v>
      </c>
      <c r="C49" s="31">
        <f>C47-C48</f>
        <v>-11264.188374596342</v>
      </c>
      <c r="D49" s="31">
        <f>D47-D48</f>
        <v>-11132.033542976933</v>
      </c>
      <c r="E49" s="31">
        <f t="shared" ref="E49:AA49" si="84">E47-E48</f>
        <v>-9215.5695296523481</v>
      </c>
      <c r="F49" s="31">
        <f t="shared" si="84"/>
        <v>-11015.851999999999</v>
      </c>
      <c r="G49" s="31">
        <f t="shared" si="84"/>
        <v>-12375.445525291827</v>
      </c>
      <c r="H49" s="31">
        <f t="shared" si="84"/>
        <v>-13774.38395415472</v>
      </c>
      <c r="I49" s="31">
        <f t="shared" si="84"/>
        <v>-14253.521495327106</v>
      </c>
      <c r="J49" s="31">
        <f t="shared" si="84"/>
        <v>-13647.972502291479</v>
      </c>
      <c r="K49" s="31">
        <f t="shared" si="84"/>
        <v>-14768.808968609868</v>
      </c>
      <c r="L49" s="31">
        <f t="shared" si="84"/>
        <v>-15559.921998247148</v>
      </c>
      <c r="M49" s="31">
        <f t="shared" si="84"/>
        <v>-13338.394230769234</v>
      </c>
      <c r="N49" s="31">
        <f t="shared" si="84"/>
        <v>-12735.213733905584</v>
      </c>
      <c r="O49" s="31">
        <f t="shared" si="84"/>
        <v>-14334.228523769802</v>
      </c>
      <c r="P49" s="31">
        <f t="shared" si="84"/>
        <v>-12601.56285949055</v>
      </c>
      <c r="Q49" s="31">
        <f t="shared" si="84"/>
        <v>-12481.00651465798</v>
      </c>
      <c r="R49" s="31">
        <f t="shared" si="84"/>
        <v>-12960.750000000007</v>
      </c>
      <c r="S49" s="31">
        <f t="shared" si="84"/>
        <v>-13223.203791469197</v>
      </c>
      <c r="T49" s="31">
        <f t="shared" si="84"/>
        <v>-10782.883956386286</v>
      </c>
      <c r="U49" s="31">
        <f t="shared" si="84"/>
        <v>-12000.560582822094</v>
      </c>
      <c r="V49" s="31">
        <f t="shared" si="84"/>
        <v>-14415.750374812604</v>
      </c>
      <c r="W49" s="31">
        <f t="shared" si="84"/>
        <v>-16150.111029411768</v>
      </c>
      <c r="X49" s="31">
        <f t="shared" si="84"/>
        <v>-647.89416058393545</v>
      </c>
      <c r="Y49" s="31">
        <f t="shared" si="84"/>
        <v>-8484.0656779661076</v>
      </c>
      <c r="Z49" s="31">
        <f t="shared" si="84"/>
        <v>-13550.914021164026</v>
      </c>
      <c r="AA49" s="31">
        <f t="shared" si="84"/>
        <v>-15671</v>
      </c>
    </row>
    <row r="50" spans="2:27" x14ac:dyDescent="0.25">
      <c r="B50" s="19" t="s">
        <v>183</v>
      </c>
      <c r="C50" s="19"/>
      <c r="D50" s="29">
        <f>D49/C49-1</f>
        <v>-1.1732299498599663E-2</v>
      </c>
      <c r="E50" s="29">
        <f t="shared" ref="E50" si="85">E49/D49-1</f>
        <v>-0.17215758521799096</v>
      </c>
      <c r="F50" s="29">
        <f t="shared" ref="F50" si="86">F49/E49-1</f>
        <v>0.19535227470803584</v>
      </c>
      <c r="G50" s="29">
        <f t="shared" ref="G50" si="87">G49/F49-1</f>
        <v>0.12342154971688335</v>
      </c>
      <c r="H50" s="29">
        <f t="shared" ref="H50" si="88">H49/G49-1</f>
        <v>0.11304145988149417</v>
      </c>
      <c r="I50" s="29">
        <f t="shared" ref="I50" si="89">I49/H49-1</f>
        <v>3.4784680227231801E-2</v>
      </c>
      <c r="J50" s="29">
        <f t="shared" ref="J50" si="90">J49/I49-1</f>
        <v>-4.2484167385172245E-2</v>
      </c>
      <c r="K50" s="29">
        <f t="shared" ref="K50" si="91">K49/J49-1</f>
        <v>8.2124760005942488E-2</v>
      </c>
      <c r="L50" s="29">
        <f t="shared" ref="L50" si="92">L49/K49-1</f>
        <v>5.3566474542309894E-2</v>
      </c>
      <c r="M50" s="29">
        <f t="shared" ref="M50" si="93">M49/L49-1</f>
        <v>-0.14277242313478</v>
      </c>
      <c r="N50" s="29">
        <f t="shared" ref="N50" si="94">N49/M49-1</f>
        <v>-4.5221372710083974E-2</v>
      </c>
      <c r="O50" s="29">
        <f t="shared" ref="O50" si="95">O49/N49-1</f>
        <v>0.12555853582630361</v>
      </c>
      <c r="P50" s="29">
        <f t="shared" ref="P50" si="96">P49/O49-1</f>
        <v>-0.12087610166156137</v>
      </c>
      <c r="Q50" s="29">
        <f t="shared" ref="Q50" si="97">Q49/P49-1</f>
        <v>-9.5667772463458034E-3</v>
      </c>
      <c r="R50" s="29">
        <f t="shared" ref="R50" si="98">R49/Q49-1</f>
        <v>3.8437884378844434E-2</v>
      </c>
      <c r="S50" s="29">
        <f t="shared" ref="S50" si="99">S49/R49-1</f>
        <v>2.0249892287806714E-2</v>
      </c>
      <c r="T50" s="29">
        <f t="shared" ref="T50" si="100">T49/S49-1</f>
        <v>-0.18454830414526746</v>
      </c>
      <c r="U50" s="29">
        <f t="shared" ref="U50" si="101">U49/T49-1</f>
        <v>0.1129268043095859</v>
      </c>
      <c r="V50" s="29">
        <f t="shared" ref="V50" si="102">V49/U49-1</f>
        <v>0.20125641425848673</v>
      </c>
      <c r="W50" s="29">
        <f t="shared" ref="W50" si="103">W49/V49-1</f>
        <v>0.12031011979990036</v>
      </c>
      <c r="X50" s="29">
        <f t="shared" ref="X50" si="104">X49/W49-1</f>
        <v>-0.95988299031480195</v>
      </c>
      <c r="Y50" s="29">
        <f t="shared" ref="Y50" si="105">Y49/X49-1</f>
        <v>12.094832758362216</v>
      </c>
      <c r="Z50" s="29">
        <f t="shared" ref="Z50" si="106">Z49/Y49-1</f>
        <v>0.59721936810991294</v>
      </c>
      <c r="AA50" s="29">
        <f t="shared" ref="AA50" si="107">AA49/Z49-1</f>
        <v>0.15645335624776235</v>
      </c>
    </row>
    <row r="51" spans="2:27" x14ac:dyDescent="0.25">
      <c r="B51" s="19"/>
      <c r="C51" s="19"/>
      <c r="D51" s="29"/>
      <c r="E51" s="29"/>
      <c r="F51" s="29"/>
      <c r="G51" s="29"/>
      <c r="H51" s="29"/>
      <c r="I51" s="29"/>
      <c r="J51" s="29"/>
      <c r="K51" s="29"/>
      <c r="L51" s="29"/>
      <c r="M51" s="29"/>
      <c r="N51" s="29"/>
      <c r="O51" s="29"/>
      <c r="P51" s="29"/>
      <c r="Q51" s="29"/>
      <c r="R51" s="29"/>
      <c r="S51" s="29"/>
      <c r="T51" s="29"/>
      <c r="U51" s="29"/>
      <c r="V51" s="29"/>
      <c r="W51" s="29"/>
      <c r="X51" s="29"/>
      <c r="Y51" s="29"/>
      <c r="Z51" s="29"/>
      <c r="AA51" s="29"/>
    </row>
    <row r="52" spans="2:27" x14ac:dyDescent="0.25">
      <c r="B52" s="28" t="s">
        <v>359</v>
      </c>
    </row>
    <row r="53" spans="2:27" x14ac:dyDescent="0.25">
      <c r="B53" t="s">
        <v>178</v>
      </c>
      <c r="C53" s="15">
        <f>C18*($AA$35/C$35)</f>
        <v>68413.752421959085</v>
      </c>
      <c r="D53" s="15">
        <f t="shared" ref="D53:AA53" si="108">D18*($AA$35/D$35)</f>
        <v>67824.713836477982</v>
      </c>
      <c r="E53" s="15">
        <f t="shared" si="108"/>
        <v>68960.153374233123</v>
      </c>
      <c r="F53" s="15">
        <f t="shared" si="108"/>
        <v>68195.539000000004</v>
      </c>
      <c r="G53" s="15">
        <f t="shared" si="108"/>
        <v>68619.690661478598</v>
      </c>
      <c r="H53" s="15">
        <f t="shared" si="108"/>
        <v>68652.850047755492</v>
      </c>
      <c r="I53" s="15">
        <f t="shared" si="108"/>
        <v>68796.58598130841</v>
      </c>
      <c r="J53" s="15">
        <f t="shared" si="108"/>
        <v>71291.144821264897</v>
      </c>
      <c r="K53" s="15">
        <f t="shared" si="108"/>
        <v>71724.956053811649</v>
      </c>
      <c r="L53" s="15">
        <f t="shared" si="108"/>
        <v>73630.470639789666</v>
      </c>
      <c r="M53" s="15">
        <f t="shared" si="108"/>
        <v>74438.484265734252</v>
      </c>
      <c r="N53" s="15">
        <f t="shared" si="108"/>
        <v>77432.095278969951</v>
      </c>
      <c r="O53" s="15">
        <f t="shared" si="108"/>
        <v>76061.81901584653</v>
      </c>
      <c r="P53" s="15">
        <f t="shared" si="108"/>
        <v>76852.49383730485</v>
      </c>
      <c r="Q53" s="15">
        <f t="shared" si="108"/>
        <v>78968.336319218244</v>
      </c>
      <c r="R53" s="15">
        <f t="shared" si="108"/>
        <v>78809.742012779549</v>
      </c>
      <c r="S53" s="15">
        <f t="shared" si="108"/>
        <v>84011.272511848336</v>
      </c>
      <c r="T53" s="15">
        <f t="shared" si="108"/>
        <v>83140.647975077867</v>
      </c>
      <c r="U53" s="15">
        <f t="shared" si="108"/>
        <v>82859.407208588949</v>
      </c>
      <c r="V53" s="15">
        <f t="shared" si="108"/>
        <v>81707.309595202401</v>
      </c>
      <c r="W53" s="15">
        <f t="shared" si="108"/>
        <v>82092.836029411759</v>
      </c>
      <c r="X53" s="15">
        <f t="shared" si="108"/>
        <v>88805.075182481742</v>
      </c>
      <c r="Y53" s="15">
        <f t="shared" si="108"/>
        <v>87214.908192090399</v>
      </c>
      <c r="Z53" s="15">
        <f t="shared" si="108"/>
        <v>81238.986772486765</v>
      </c>
      <c r="AA53" s="15">
        <f t="shared" si="108"/>
        <v>78998</v>
      </c>
    </row>
    <row r="54" spans="2:27" x14ac:dyDescent="0.25">
      <c r="B54" t="s">
        <v>179</v>
      </c>
      <c r="C54" s="15">
        <f t="shared" ref="C54:AA54" si="109">C19*($AA$35/C$35)</f>
        <v>76172.361679224967</v>
      </c>
      <c r="D54" s="15">
        <f t="shared" si="109"/>
        <v>76595.307127882596</v>
      </c>
      <c r="E54" s="15">
        <f t="shared" si="109"/>
        <v>78407.03578732106</v>
      </c>
      <c r="F54" s="15">
        <f t="shared" si="109"/>
        <v>78606.555999999997</v>
      </c>
      <c r="G54" s="15">
        <f t="shared" si="109"/>
        <v>78536.246108949417</v>
      </c>
      <c r="H54" s="15">
        <f t="shared" si="109"/>
        <v>78440.465138490923</v>
      </c>
      <c r="I54" s="15">
        <f t="shared" si="109"/>
        <v>79858.187850467279</v>
      </c>
      <c r="J54" s="15">
        <f t="shared" si="109"/>
        <v>80910.099908340984</v>
      </c>
      <c r="K54" s="15">
        <f t="shared" si="109"/>
        <v>81958.295067264567</v>
      </c>
      <c r="L54" s="15">
        <f t="shared" si="109"/>
        <v>81643.809815950925</v>
      </c>
      <c r="M54" s="15">
        <f t="shared" si="109"/>
        <v>81116.607517482509</v>
      </c>
      <c r="N54" s="15">
        <f t="shared" si="109"/>
        <v>83335.818884120177</v>
      </c>
      <c r="O54" s="15">
        <f t="shared" si="109"/>
        <v>83447.746455379485</v>
      </c>
      <c r="P54" s="15">
        <f t="shared" si="109"/>
        <v>84649.40427280197</v>
      </c>
      <c r="Q54" s="15">
        <f t="shared" si="109"/>
        <v>85483.892508143326</v>
      </c>
      <c r="R54" s="15">
        <f t="shared" si="109"/>
        <v>88152.92571884983</v>
      </c>
      <c r="S54" s="15">
        <f t="shared" si="109"/>
        <v>88885.591627172194</v>
      </c>
      <c r="T54" s="15">
        <f t="shared" si="109"/>
        <v>88544.93691588784</v>
      </c>
      <c r="U54" s="15">
        <f t="shared" si="109"/>
        <v>89260.268404907969</v>
      </c>
      <c r="V54" s="15">
        <f t="shared" si="109"/>
        <v>90324.256371814088</v>
      </c>
      <c r="W54" s="15">
        <f t="shared" si="109"/>
        <v>90689.440441176455</v>
      </c>
      <c r="X54" s="15">
        <f t="shared" si="109"/>
        <v>85885.537956204367</v>
      </c>
      <c r="Y54" s="15">
        <f t="shared" si="109"/>
        <v>91532.939265536726</v>
      </c>
      <c r="Z54" s="15">
        <f t="shared" si="109"/>
        <v>92330.537698412692</v>
      </c>
      <c r="AA54" s="15">
        <f t="shared" si="109"/>
        <v>91266</v>
      </c>
    </row>
    <row r="55" spans="2:27" x14ac:dyDescent="0.25">
      <c r="B55" t="s">
        <v>180</v>
      </c>
      <c r="C55" s="31">
        <f>C53-C54</f>
        <v>-7758.6092572658818</v>
      </c>
      <c r="D55" s="31">
        <f>D53-D54</f>
        <v>-8770.5932914046134</v>
      </c>
      <c r="E55" s="31">
        <f t="shared" ref="E55:AA55" si="110">E53-E54</f>
        <v>-9446.8824130879366</v>
      </c>
      <c r="F55" s="31">
        <f t="shared" si="110"/>
        <v>-10411.016999999993</v>
      </c>
      <c r="G55" s="31">
        <f t="shared" si="110"/>
        <v>-9916.5554474708188</v>
      </c>
      <c r="H55" s="31">
        <f t="shared" si="110"/>
        <v>-9787.6150907354313</v>
      </c>
      <c r="I55" s="31">
        <f t="shared" si="110"/>
        <v>-11061.601869158869</v>
      </c>
      <c r="J55" s="31">
        <f t="shared" si="110"/>
        <v>-9618.9550870760868</v>
      </c>
      <c r="K55" s="31">
        <f t="shared" si="110"/>
        <v>-10233.339013452918</v>
      </c>
      <c r="L55" s="31">
        <f t="shared" si="110"/>
        <v>-8013.3391761612584</v>
      </c>
      <c r="M55" s="31">
        <f t="shared" si="110"/>
        <v>-6678.1232517482567</v>
      </c>
      <c r="N55" s="31">
        <f t="shared" si="110"/>
        <v>-5903.7236051502259</v>
      </c>
      <c r="O55" s="31">
        <f t="shared" si="110"/>
        <v>-7385.9274395329558</v>
      </c>
      <c r="P55" s="31">
        <f t="shared" si="110"/>
        <v>-7796.9104354971205</v>
      </c>
      <c r="Q55" s="31">
        <f t="shared" si="110"/>
        <v>-6515.5561889250821</v>
      </c>
      <c r="R55" s="31">
        <f t="shared" si="110"/>
        <v>-9343.1837060702819</v>
      </c>
      <c r="S55" s="31">
        <f t="shared" si="110"/>
        <v>-4874.3191153238586</v>
      </c>
      <c r="T55" s="31">
        <f t="shared" si="110"/>
        <v>-5404.2889408099727</v>
      </c>
      <c r="U55" s="31">
        <f t="shared" si="110"/>
        <v>-6400.8611963190197</v>
      </c>
      <c r="V55" s="31">
        <f t="shared" si="110"/>
        <v>-8616.9467766116868</v>
      </c>
      <c r="W55" s="31">
        <f t="shared" si="110"/>
        <v>-8596.6044117646961</v>
      </c>
      <c r="X55" s="31">
        <f t="shared" si="110"/>
        <v>2919.5372262773744</v>
      </c>
      <c r="Y55" s="31">
        <f t="shared" si="110"/>
        <v>-4318.0310734463274</v>
      </c>
      <c r="Z55" s="31">
        <f t="shared" si="110"/>
        <v>-11091.550925925927</v>
      </c>
      <c r="AA55" s="31">
        <f t="shared" si="110"/>
        <v>-12268</v>
      </c>
    </row>
    <row r="56" spans="2:27" x14ac:dyDescent="0.25">
      <c r="B56" s="19" t="s">
        <v>183</v>
      </c>
      <c r="C56" s="19"/>
      <c r="D56" s="29">
        <f>D55/C55-1</f>
        <v>0.13043368992851589</v>
      </c>
      <c r="E56" s="29">
        <f t="shared" ref="E56" si="111">E55/D55-1</f>
        <v>7.7108708523299319E-2</v>
      </c>
      <c r="F56" s="29">
        <f t="shared" ref="F56" si="112">F55/E55-1</f>
        <v>0.10205849345349338</v>
      </c>
      <c r="G56" s="29">
        <f t="shared" ref="G56" si="113">G55/F55-1</f>
        <v>-4.7494068305639514E-2</v>
      </c>
      <c r="H56" s="29">
        <f t="shared" ref="H56" si="114">H55/G55-1</f>
        <v>-1.300253474287516E-2</v>
      </c>
      <c r="I56" s="29">
        <f t="shared" ref="I56" si="115">I55/H55-1</f>
        <v>0.13016314665145989</v>
      </c>
      <c r="J56" s="29">
        <f t="shared" ref="J56" si="116">J55/I55-1</f>
        <v>-0.13041933701348096</v>
      </c>
      <c r="K56" s="29">
        <f t="shared" ref="K56" si="117">K55/J55-1</f>
        <v>6.3872210735478996E-2</v>
      </c>
      <c r="L56" s="29">
        <f t="shared" ref="L56" si="118">L55/K55-1</f>
        <v>-0.21693797443563734</v>
      </c>
      <c r="M56" s="29">
        <f t="shared" ref="M56" si="119">M55/L55-1</f>
        <v>-0.16662416192055263</v>
      </c>
      <c r="N56" s="29">
        <f t="shared" ref="N56" si="120">N55/M55-1</f>
        <v>-0.11596066999741306</v>
      </c>
      <c r="O56" s="29">
        <f t="shared" ref="O56" si="121">O55/N55-1</f>
        <v>0.25106253841045345</v>
      </c>
      <c r="P56" s="29">
        <f t="shared" ref="P56" si="122">P55/O55-1</f>
        <v>5.5644060861522959E-2</v>
      </c>
      <c r="Q56" s="29">
        <f t="shared" ref="Q56" si="123">Q55/P55-1</f>
        <v>-0.16434128071272902</v>
      </c>
      <c r="R56" s="29">
        <f t="shared" ref="R56" si="124">R55/Q55-1</f>
        <v>0.43398098875296376</v>
      </c>
      <c r="S56" s="29">
        <f t="shared" ref="S56" si="125">S55/R55-1</f>
        <v>-0.4783021217749357</v>
      </c>
      <c r="T56" s="29">
        <f t="shared" ref="T56" si="126">T55/S55-1</f>
        <v>0.10872694481984113</v>
      </c>
      <c r="U56" s="29">
        <f t="shared" ref="U56" si="127">U55/T55-1</f>
        <v>0.18440395515930441</v>
      </c>
      <c r="V56" s="29">
        <f t="shared" ref="V56" si="128">V55/U55-1</f>
        <v>0.34621678432381642</v>
      </c>
      <c r="W56" s="29">
        <f t="shared" ref="W56" si="129">W55/V55-1</f>
        <v>-2.3607392936677574E-3</v>
      </c>
      <c r="X56" s="29">
        <f t="shared" ref="X56" si="130">X55/W55-1</f>
        <v>-1.3396151650623711</v>
      </c>
      <c r="Y56" s="29">
        <f t="shared" ref="Y56" si="131">Y55/X55-1</f>
        <v>-2.4790121648670107</v>
      </c>
      <c r="Z56" s="29">
        <f t="shared" ref="Z56" si="132">Z55/Y55-1</f>
        <v>1.5686593582277042</v>
      </c>
      <c r="AA56" s="29">
        <f t="shared" ref="AA56" si="133">AA55/Z55-1</f>
        <v>0.10606713902599352</v>
      </c>
    </row>
    <row r="57" spans="2:27" x14ac:dyDescent="0.25">
      <c r="B57" s="19"/>
      <c r="C57" s="19"/>
      <c r="D57" s="29"/>
      <c r="E57" s="29"/>
      <c r="F57" s="29"/>
      <c r="G57" s="29"/>
      <c r="H57" s="29"/>
      <c r="I57" s="29"/>
      <c r="J57" s="29"/>
      <c r="K57" s="29"/>
      <c r="L57" s="29"/>
      <c r="M57" s="29"/>
      <c r="N57" s="29"/>
      <c r="O57" s="29"/>
      <c r="P57" s="29"/>
      <c r="Q57" s="29"/>
      <c r="R57" s="29"/>
      <c r="S57" s="29"/>
      <c r="T57" s="29"/>
      <c r="U57" s="29"/>
      <c r="V57" s="29"/>
      <c r="W57" s="29"/>
      <c r="X57" s="29"/>
      <c r="Y57" s="29"/>
      <c r="Z57" s="29"/>
      <c r="AA57" s="29"/>
    </row>
    <row r="58" spans="2:27" x14ac:dyDescent="0.25">
      <c r="B58" s="28" t="s">
        <v>360</v>
      </c>
    </row>
    <row r="59" spans="2:27" x14ac:dyDescent="0.25">
      <c r="B59" t="s">
        <v>178</v>
      </c>
      <c r="C59" s="15">
        <f>C24*($AA$35/C$35)</f>
        <v>91261.740581270176</v>
      </c>
      <c r="D59" s="15">
        <f t="shared" ref="D59:AA59" si="134">D24*($AA$35/D$35)</f>
        <v>90994.493710691822</v>
      </c>
      <c r="E59" s="15">
        <f t="shared" si="134"/>
        <v>93084.159509202451</v>
      </c>
      <c r="F59" s="15">
        <f t="shared" si="134"/>
        <v>95089.487999999998</v>
      </c>
      <c r="G59" s="15">
        <f t="shared" si="134"/>
        <v>92664.548638132284</v>
      </c>
      <c r="H59" s="15">
        <f t="shared" si="134"/>
        <v>93914.890162368669</v>
      </c>
      <c r="I59" s="15">
        <f t="shared" si="134"/>
        <v>94164.565420560742</v>
      </c>
      <c r="J59" s="15">
        <f t="shared" si="134"/>
        <v>95521.407882676445</v>
      </c>
      <c r="K59" s="15">
        <f t="shared" si="134"/>
        <v>96717.241255605375</v>
      </c>
      <c r="L59" s="15">
        <f t="shared" si="134"/>
        <v>99530.629272567923</v>
      </c>
      <c r="M59" s="15">
        <f t="shared" si="134"/>
        <v>101362.45804195803</v>
      </c>
      <c r="N59" s="15">
        <f t="shared" si="134"/>
        <v>104578.70557939915</v>
      </c>
      <c r="O59" s="15">
        <f t="shared" si="134"/>
        <v>104807.58131776479</v>
      </c>
      <c r="P59" s="15">
        <f t="shared" si="134"/>
        <v>105562.93837304847</v>
      </c>
      <c r="Q59" s="15">
        <f t="shared" si="134"/>
        <v>108423.30700325733</v>
      </c>
      <c r="R59" s="15">
        <f t="shared" si="134"/>
        <v>109325.03674121405</v>
      </c>
      <c r="S59" s="15">
        <f t="shared" si="134"/>
        <v>110628.92654028436</v>
      </c>
      <c r="T59" s="15">
        <f t="shared" si="134"/>
        <v>108569.06931464173</v>
      </c>
      <c r="U59" s="15">
        <f t="shared" si="134"/>
        <v>110808.50920245399</v>
      </c>
      <c r="V59" s="15">
        <f t="shared" si="134"/>
        <v>109621.41229385306</v>
      </c>
      <c r="W59" s="15">
        <f t="shared" si="134"/>
        <v>110033.53308823529</v>
      </c>
      <c r="X59" s="15">
        <f t="shared" si="134"/>
        <v>118509.58905109488</v>
      </c>
      <c r="Y59" s="15">
        <f t="shared" si="134"/>
        <v>122082.01059322036</v>
      </c>
      <c r="Z59" s="15">
        <f t="shared" si="134"/>
        <v>115174.457010582</v>
      </c>
      <c r="AA59" s="15">
        <f t="shared" si="134"/>
        <v>114315</v>
      </c>
    </row>
    <row r="60" spans="2:27" x14ac:dyDescent="0.25">
      <c r="B60" t="s">
        <v>179</v>
      </c>
      <c r="C60" s="15">
        <f t="shared" ref="C60:AA60" si="135">C25*($AA$35/C$35)</f>
        <v>90517.67168998922</v>
      </c>
      <c r="D60" s="15">
        <f t="shared" si="135"/>
        <v>92542.439203354297</v>
      </c>
      <c r="E60" s="15">
        <f t="shared" si="135"/>
        <v>93879.297546012269</v>
      </c>
      <c r="F60" s="15">
        <f t="shared" si="135"/>
        <v>94682.599000000002</v>
      </c>
      <c r="G60" s="15">
        <f t="shared" si="135"/>
        <v>97168.183852140079</v>
      </c>
      <c r="H60" s="15">
        <f t="shared" si="135"/>
        <v>94539.088825214902</v>
      </c>
      <c r="I60" s="15">
        <f t="shared" si="135"/>
        <v>96898.399065420555</v>
      </c>
      <c r="J60" s="15">
        <f t="shared" si="135"/>
        <v>97826.789184234658</v>
      </c>
      <c r="K60" s="15">
        <f t="shared" si="135"/>
        <v>99390.054708520169</v>
      </c>
      <c r="L60" s="15">
        <f t="shared" si="135"/>
        <v>100524.72392638038</v>
      </c>
      <c r="M60" s="15">
        <f t="shared" si="135"/>
        <v>99796.951048951043</v>
      </c>
      <c r="N60" s="15">
        <f t="shared" si="135"/>
        <v>101790.01201716738</v>
      </c>
      <c r="O60" s="15">
        <f t="shared" si="135"/>
        <v>103087.21184320266</v>
      </c>
      <c r="P60" s="15">
        <f t="shared" si="135"/>
        <v>101705.79129005752</v>
      </c>
      <c r="Q60" s="15">
        <f t="shared" si="135"/>
        <v>105148.25814332247</v>
      </c>
      <c r="R60" s="15">
        <f t="shared" si="135"/>
        <v>105156.61661341852</v>
      </c>
      <c r="S60" s="15">
        <f t="shared" si="135"/>
        <v>107119.61532385465</v>
      </c>
      <c r="T60" s="15">
        <f t="shared" si="135"/>
        <v>107623.28816199375</v>
      </c>
      <c r="U60" s="15">
        <f t="shared" si="135"/>
        <v>108873.67331288343</v>
      </c>
      <c r="V60" s="15">
        <f t="shared" si="135"/>
        <v>107574.63718140929</v>
      </c>
      <c r="W60" s="15">
        <f t="shared" si="135"/>
        <v>105797.6088235294</v>
      </c>
      <c r="X60" s="15">
        <f t="shared" si="135"/>
        <v>99158.767883211665</v>
      </c>
      <c r="Y60" s="15">
        <f t="shared" si="135"/>
        <v>104325.05084745763</v>
      </c>
      <c r="Z60" s="15">
        <f t="shared" si="135"/>
        <v>103856.39947089946</v>
      </c>
      <c r="AA60" s="15">
        <f t="shared" si="135"/>
        <v>103168</v>
      </c>
    </row>
    <row r="61" spans="2:27" x14ac:dyDescent="0.25">
      <c r="B61" t="s">
        <v>180</v>
      </c>
      <c r="C61" s="31">
        <f>C59-C60</f>
        <v>744.06889128095645</v>
      </c>
      <c r="D61" s="31">
        <f>D59-D60</f>
        <v>-1547.9454926624749</v>
      </c>
      <c r="E61" s="31">
        <f t="shared" ref="E61:AA61" si="136">E59-E60</f>
        <v>-795.138036809818</v>
      </c>
      <c r="F61" s="31">
        <f t="shared" si="136"/>
        <v>406.88899999999558</v>
      </c>
      <c r="G61" s="31">
        <f t="shared" si="136"/>
        <v>-4503.6352140077943</v>
      </c>
      <c r="H61" s="31">
        <f t="shared" si="136"/>
        <v>-624.19866284623276</v>
      </c>
      <c r="I61" s="31">
        <f t="shared" si="136"/>
        <v>-2733.8336448598129</v>
      </c>
      <c r="J61" s="31">
        <f t="shared" si="136"/>
        <v>-2305.3813015582127</v>
      </c>
      <c r="K61" s="31">
        <f t="shared" si="136"/>
        <v>-2672.8134529147937</v>
      </c>
      <c r="L61" s="31">
        <f t="shared" si="136"/>
        <v>-994.09465381245536</v>
      </c>
      <c r="M61" s="31">
        <f t="shared" si="136"/>
        <v>1565.5069930069876</v>
      </c>
      <c r="N61" s="31">
        <f t="shared" si="136"/>
        <v>2788.6935622317687</v>
      </c>
      <c r="O61" s="31">
        <f t="shared" si="136"/>
        <v>1720.3694745621324</v>
      </c>
      <c r="P61" s="31">
        <f t="shared" si="136"/>
        <v>3857.1470829909522</v>
      </c>
      <c r="Q61" s="31">
        <f t="shared" si="136"/>
        <v>3275.048859934861</v>
      </c>
      <c r="R61" s="31">
        <f t="shared" si="136"/>
        <v>4168.420127795529</v>
      </c>
      <c r="S61" s="31">
        <f t="shared" si="136"/>
        <v>3509.3112164297054</v>
      </c>
      <c r="T61" s="31">
        <f t="shared" si="136"/>
        <v>945.78115264797816</v>
      </c>
      <c r="U61" s="31">
        <f t="shared" si="136"/>
        <v>1934.8358895705605</v>
      </c>
      <c r="V61" s="31">
        <f t="shared" si="136"/>
        <v>2046.7751124437782</v>
      </c>
      <c r="W61" s="31">
        <f t="shared" si="136"/>
        <v>4235.9242647058854</v>
      </c>
      <c r="X61" s="31">
        <f t="shared" si="136"/>
        <v>19350.821167883216</v>
      </c>
      <c r="Y61" s="31">
        <f t="shared" si="136"/>
        <v>17756.959745762724</v>
      </c>
      <c r="Z61" s="31">
        <f t="shared" si="136"/>
        <v>11318.057539682544</v>
      </c>
      <c r="AA61" s="31">
        <f t="shared" si="136"/>
        <v>11147</v>
      </c>
    </row>
    <row r="62" spans="2:27" x14ac:dyDescent="0.25">
      <c r="B62" s="19" t="s">
        <v>183</v>
      </c>
      <c r="C62" s="19"/>
      <c r="D62" s="29">
        <f>D61/C61-1</f>
        <v>-3.080379264341504</v>
      </c>
      <c r="E62" s="29">
        <f t="shared" ref="E62" si="137">E61/D61-1</f>
        <v>-0.48632685028064127</v>
      </c>
      <c r="F62" s="29">
        <f t="shared" ref="F62" si="138">F61/E61-1</f>
        <v>-1.5117212121212051</v>
      </c>
      <c r="G62" s="29">
        <f t="shared" ref="G62" si="139">G61/F61-1</f>
        <v>-12.068461457566666</v>
      </c>
      <c r="H62" s="29">
        <f t="shared" ref="H62" si="140">H61/G61-1</f>
        <v>-0.86140114969685633</v>
      </c>
      <c r="I62" s="29">
        <f t="shared" ref="I62" si="141">I61/H61-1</f>
        <v>3.3797492810927006</v>
      </c>
      <c r="J62" s="29">
        <f t="shared" ref="J62" si="142">J61/I61-1</f>
        <v>-0.15672217075357953</v>
      </c>
      <c r="K62" s="29">
        <f t="shared" ref="K62" si="143">K61/J61-1</f>
        <v>0.15938020799779751</v>
      </c>
      <c r="L62" s="29">
        <f t="shared" ref="L62" si="144">L61/K61-1</f>
        <v>-0.62807181596292794</v>
      </c>
      <c r="M62" s="29">
        <f t="shared" ref="M62" si="145">M61/L61-1</f>
        <v>-2.5748067721751715</v>
      </c>
      <c r="N62" s="29">
        <f t="shared" ref="N62" si="146">N61/M61-1</f>
        <v>0.78133574279046436</v>
      </c>
      <c r="O62" s="29">
        <f t="shared" ref="O62" si="147">O61/N61-1</f>
        <v>-0.38309124463810407</v>
      </c>
      <c r="P62" s="29">
        <f t="shared" ref="P62" si="148">P61/O61-1</f>
        <v>1.2420457582070683</v>
      </c>
      <c r="Q62" s="29">
        <f t="shared" ref="Q62" si="149">Q61/P61-1</f>
        <v>-0.15091418878553997</v>
      </c>
      <c r="R62" s="29">
        <f t="shared" ref="R62" si="150">R61/Q61-1</f>
        <v>0.27278105031948652</v>
      </c>
      <c r="S62" s="29">
        <f t="shared" ref="S62" si="151">S61/R61-1</f>
        <v>-0.15811959715164159</v>
      </c>
      <c r="T62" s="29">
        <f t="shared" ref="T62" si="152">T61/S61-1</f>
        <v>-0.73049379370513767</v>
      </c>
      <c r="U62" s="29">
        <f t="shared" ref="U62" si="153">U61/T61-1</f>
        <v>1.0457543313835846</v>
      </c>
      <c r="V62" s="29">
        <f t="shared" ref="V62" si="154">V61/U61-1</f>
        <v>5.7854634326667709E-2</v>
      </c>
      <c r="W62" s="29">
        <f t="shared" ref="W62" si="155">W61/V61-1</f>
        <v>1.0695601773505734</v>
      </c>
      <c r="X62" s="29">
        <f t="shared" ref="X62" si="156">X61/W61-1</f>
        <v>3.5682641989414341</v>
      </c>
      <c r="Y62" s="29">
        <f t="shared" ref="Y62" si="157">Y61/X61-1</f>
        <v>-8.2366603892027213E-2</v>
      </c>
      <c r="Z62" s="29">
        <f t="shared" ref="Z62" si="158">Z61/Y61-1</f>
        <v>-0.36261287395308028</v>
      </c>
      <c r="AA62" s="29">
        <f t="shared" ref="AA62" si="159">AA61/Z61-1</f>
        <v>-1.5113683517051779E-2</v>
      </c>
    </row>
    <row r="63" spans="2:27" x14ac:dyDescent="0.25">
      <c r="B63" s="19"/>
      <c r="C63" s="19"/>
      <c r="D63" s="29"/>
      <c r="E63" s="29"/>
      <c r="F63" s="29"/>
      <c r="G63" s="29"/>
      <c r="H63" s="29"/>
      <c r="I63" s="29"/>
      <c r="J63" s="29"/>
      <c r="K63" s="29"/>
      <c r="L63" s="29"/>
      <c r="M63" s="29"/>
      <c r="N63" s="29"/>
      <c r="O63" s="29"/>
      <c r="P63" s="29"/>
      <c r="Q63" s="29"/>
      <c r="R63" s="29"/>
      <c r="S63" s="29"/>
      <c r="T63" s="29"/>
      <c r="U63" s="29"/>
      <c r="V63" s="29"/>
      <c r="W63" s="29"/>
      <c r="X63" s="29"/>
      <c r="Y63" s="29"/>
      <c r="Z63" s="29"/>
      <c r="AA63" s="29"/>
    </row>
    <row r="64" spans="2:27" x14ac:dyDescent="0.25">
      <c r="B64" s="28" t="s">
        <v>361</v>
      </c>
    </row>
    <row r="65" spans="2:27" x14ac:dyDescent="0.25">
      <c r="B65" t="s">
        <v>178</v>
      </c>
      <c r="C65" s="15">
        <f t="shared" ref="C65:AA65" si="160">C30*($AA$35/C$35)</f>
        <v>156426.95586652312</v>
      </c>
      <c r="D65" s="15">
        <f t="shared" si="160"/>
        <v>164477.44234800836</v>
      </c>
      <c r="E65" s="15">
        <f t="shared" si="160"/>
        <v>164371.89877300613</v>
      </c>
      <c r="F65" s="15">
        <f t="shared" si="160"/>
        <v>166290.35</v>
      </c>
      <c r="G65" s="15">
        <f t="shared" si="160"/>
        <v>165827.60797665367</v>
      </c>
      <c r="H65" s="15">
        <f t="shared" si="160"/>
        <v>170845.87488061126</v>
      </c>
      <c r="I65" s="15">
        <f t="shared" si="160"/>
        <v>172354.85046728971</v>
      </c>
      <c r="J65" s="15">
        <f t="shared" si="160"/>
        <v>180078.93492208983</v>
      </c>
      <c r="K65" s="15">
        <f t="shared" si="160"/>
        <v>182850.31031390134</v>
      </c>
      <c r="L65" s="15">
        <f t="shared" si="160"/>
        <v>185254.08238387381</v>
      </c>
      <c r="M65" s="15">
        <f t="shared" si="160"/>
        <v>185825.68006993007</v>
      </c>
      <c r="N65" s="15">
        <f t="shared" si="160"/>
        <v>185311.92360515022</v>
      </c>
      <c r="O65" s="15">
        <f t="shared" si="160"/>
        <v>183750.658882402</v>
      </c>
      <c r="P65" s="15">
        <f t="shared" si="160"/>
        <v>185530.32374691864</v>
      </c>
      <c r="Q65" s="15">
        <f t="shared" si="160"/>
        <v>191921.70114006515</v>
      </c>
      <c r="R65" s="15">
        <f t="shared" si="160"/>
        <v>191678.31230031946</v>
      </c>
      <c r="S65" s="15">
        <f t="shared" si="160"/>
        <v>197093.49052132701</v>
      </c>
      <c r="T65" s="15">
        <f t="shared" si="160"/>
        <v>186348.25155763238</v>
      </c>
      <c r="U65" s="15">
        <f t="shared" si="160"/>
        <v>191310.21165644171</v>
      </c>
      <c r="V65" s="15">
        <f t="shared" si="160"/>
        <v>188132.54947526235</v>
      </c>
      <c r="W65" s="15">
        <f t="shared" si="160"/>
        <v>190706.69338235291</v>
      </c>
      <c r="X65" s="15">
        <f t="shared" si="160"/>
        <v>190128.84160583941</v>
      </c>
      <c r="Y65" s="15">
        <f t="shared" si="160"/>
        <v>195163.46610169494</v>
      </c>
      <c r="Z65" s="15">
        <f t="shared" si="160"/>
        <v>193926.02711640211</v>
      </c>
      <c r="AA65" s="15">
        <f t="shared" si="160"/>
        <v>197667</v>
      </c>
    </row>
    <row r="66" spans="2:27" x14ac:dyDescent="0.25">
      <c r="B66" t="s">
        <v>179</v>
      </c>
      <c r="C66" s="15">
        <f t="shared" ref="C66:AA66" si="161">C31*($AA$35/C$35)</f>
        <v>127173.21097954789</v>
      </c>
      <c r="D66" s="15">
        <f t="shared" si="161"/>
        <v>131171.91299790356</v>
      </c>
      <c r="E66" s="15">
        <f t="shared" si="161"/>
        <v>130195.42024539877</v>
      </c>
      <c r="F66" s="15">
        <f t="shared" si="161"/>
        <v>133531.85800000001</v>
      </c>
      <c r="G66" s="15">
        <f t="shared" si="161"/>
        <v>133151.41926070038</v>
      </c>
      <c r="H66" s="15">
        <f t="shared" si="161"/>
        <v>137311.70200573065</v>
      </c>
      <c r="I66" s="15">
        <f t="shared" si="161"/>
        <v>138485.85233644859</v>
      </c>
      <c r="J66" s="15">
        <f t="shared" si="161"/>
        <v>139444.60953253898</v>
      </c>
      <c r="K66" s="15">
        <f t="shared" si="161"/>
        <v>142970.86278026906</v>
      </c>
      <c r="L66" s="15">
        <f t="shared" si="161"/>
        <v>141871.90184049081</v>
      </c>
      <c r="M66" s="15">
        <f t="shared" si="161"/>
        <v>140758.30419580417</v>
      </c>
      <c r="N66" s="15">
        <f t="shared" si="161"/>
        <v>142379.79742489269</v>
      </c>
      <c r="O66" s="15">
        <f t="shared" si="161"/>
        <v>140979.88907422853</v>
      </c>
      <c r="P66" s="15">
        <f t="shared" si="161"/>
        <v>142288.45193097781</v>
      </c>
      <c r="Q66" s="15">
        <f t="shared" si="161"/>
        <v>144432.21335504885</v>
      </c>
      <c r="R66" s="15">
        <f t="shared" si="161"/>
        <v>146371.52555910542</v>
      </c>
      <c r="S66" s="15">
        <f t="shared" si="161"/>
        <v>148968.27567140598</v>
      </c>
      <c r="T66" s="15">
        <f t="shared" si="161"/>
        <v>149292.71728971961</v>
      </c>
      <c r="U66" s="15">
        <f t="shared" si="161"/>
        <v>151277.42101226994</v>
      </c>
      <c r="V66" s="15">
        <f t="shared" si="161"/>
        <v>149148.43178410793</v>
      </c>
      <c r="W66" s="15">
        <f t="shared" si="161"/>
        <v>143111.16911764705</v>
      </c>
      <c r="X66" s="15">
        <f t="shared" si="161"/>
        <v>132982.28321167882</v>
      </c>
      <c r="Y66" s="15">
        <f t="shared" si="161"/>
        <v>135429.96327683618</v>
      </c>
      <c r="Z66" s="15">
        <f t="shared" si="161"/>
        <v>137764.85515873015</v>
      </c>
      <c r="AA66" s="15">
        <f t="shared" si="161"/>
        <v>137015</v>
      </c>
    </row>
    <row r="67" spans="2:27" x14ac:dyDescent="0.25">
      <c r="B67" t="s">
        <v>180</v>
      </c>
      <c r="C67" s="31">
        <f>C65-C66</f>
        <v>29253.744886975226</v>
      </c>
      <c r="D67" s="31">
        <f>D65-D66</f>
        <v>33305.5293501048</v>
      </c>
      <c r="E67" s="31">
        <f t="shared" ref="E67:AA67" si="162">E65-E66</f>
        <v>34176.478527607367</v>
      </c>
      <c r="F67" s="31">
        <f t="shared" si="162"/>
        <v>32758.491999999998</v>
      </c>
      <c r="G67" s="31">
        <f t="shared" si="162"/>
        <v>32676.188715953293</v>
      </c>
      <c r="H67" s="31">
        <f t="shared" si="162"/>
        <v>33534.172874880605</v>
      </c>
      <c r="I67" s="31">
        <f t="shared" si="162"/>
        <v>33868.998130841122</v>
      </c>
      <c r="J67" s="31">
        <f t="shared" si="162"/>
        <v>40634.325389550853</v>
      </c>
      <c r="K67" s="31">
        <f t="shared" si="162"/>
        <v>39879.447533632279</v>
      </c>
      <c r="L67" s="31">
        <f t="shared" si="162"/>
        <v>43382.180543383001</v>
      </c>
      <c r="M67" s="31">
        <f t="shared" si="162"/>
        <v>45067.375874125893</v>
      </c>
      <c r="N67" s="31">
        <f t="shared" si="162"/>
        <v>42932.126180257532</v>
      </c>
      <c r="O67" s="31">
        <f t="shared" si="162"/>
        <v>42770.769808173471</v>
      </c>
      <c r="P67" s="31">
        <f t="shared" si="162"/>
        <v>43241.871815940831</v>
      </c>
      <c r="Q67" s="31">
        <f t="shared" si="162"/>
        <v>47489.487785016303</v>
      </c>
      <c r="R67" s="31">
        <f t="shared" si="162"/>
        <v>45306.786741214048</v>
      </c>
      <c r="S67" s="31">
        <f t="shared" si="162"/>
        <v>48125.214849921031</v>
      </c>
      <c r="T67" s="31">
        <f t="shared" si="162"/>
        <v>37055.534267912764</v>
      </c>
      <c r="U67" s="31">
        <f t="shared" si="162"/>
        <v>40032.790644171764</v>
      </c>
      <c r="V67" s="31">
        <f t="shared" si="162"/>
        <v>38984.117691154417</v>
      </c>
      <c r="W67" s="31">
        <f t="shared" si="162"/>
        <v>47595.524264705862</v>
      </c>
      <c r="X67" s="31">
        <f t="shared" si="162"/>
        <v>57146.558394160587</v>
      </c>
      <c r="Y67" s="31">
        <f t="shared" si="162"/>
        <v>59733.502824858762</v>
      </c>
      <c r="Z67" s="31">
        <f t="shared" si="162"/>
        <v>56161.171957671962</v>
      </c>
      <c r="AA67" s="31">
        <f t="shared" si="162"/>
        <v>60652</v>
      </c>
    </row>
    <row r="68" spans="2:27" x14ac:dyDescent="0.25">
      <c r="B68" t="s">
        <v>183</v>
      </c>
      <c r="C68" s="19"/>
      <c r="D68" s="29">
        <f>D67/C67-1</f>
        <v>0.13850481293195283</v>
      </c>
      <c r="E68" s="29">
        <f t="shared" ref="E68:AA68" si="163">E67/D67-1</f>
        <v>2.6150287789971083E-2</v>
      </c>
      <c r="F68" s="29">
        <f t="shared" si="163"/>
        <v>-4.1490129723632418E-2</v>
      </c>
      <c r="G68" s="29">
        <f t="shared" si="163"/>
        <v>-2.5124259091873213E-3</v>
      </c>
      <c r="H68" s="29">
        <f t="shared" si="163"/>
        <v>2.6257167455653319E-2</v>
      </c>
      <c r="I68" s="29">
        <f t="shared" si="163"/>
        <v>9.9845986125790542E-3</v>
      </c>
      <c r="J68" s="29">
        <f t="shared" si="163"/>
        <v>0.19974984889054692</v>
      </c>
      <c r="K68" s="29">
        <f t="shared" si="163"/>
        <v>-1.8577344367889825E-2</v>
      </c>
      <c r="L68" s="29">
        <f t="shared" si="163"/>
        <v>8.783303747617599E-2</v>
      </c>
      <c r="M68" s="29">
        <f t="shared" si="163"/>
        <v>3.8845334873328197E-2</v>
      </c>
      <c r="N68" s="29">
        <f t="shared" si="163"/>
        <v>-4.7379055302269157E-2</v>
      </c>
      <c r="O68" s="29">
        <f t="shared" si="163"/>
        <v>-3.7584062668264417E-3</v>
      </c>
      <c r="P68" s="29">
        <f t="shared" si="163"/>
        <v>1.1014578645188067E-2</v>
      </c>
      <c r="Q68" s="29">
        <f t="shared" si="163"/>
        <v>9.8229234551997724E-2</v>
      </c>
      <c r="R68" s="29">
        <f t="shared" si="163"/>
        <v>-4.5961772712379778E-2</v>
      </c>
      <c r="S68" s="29">
        <f t="shared" si="163"/>
        <v>6.2207636237931574E-2</v>
      </c>
      <c r="T68" s="29">
        <f t="shared" si="163"/>
        <v>-0.23001830987205307</v>
      </c>
      <c r="U68" s="29">
        <f t="shared" si="163"/>
        <v>8.0345795441332246E-2</v>
      </c>
      <c r="V68" s="29">
        <f t="shared" si="163"/>
        <v>-2.6195349765605669E-2</v>
      </c>
      <c r="W68" s="29">
        <f t="shared" si="163"/>
        <v>0.22089525385117015</v>
      </c>
      <c r="X68" s="29">
        <f t="shared" si="163"/>
        <v>0.20067084619839415</v>
      </c>
      <c r="Y68" s="29">
        <f t="shared" si="163"/>
        <v>4.526859540438255E-2</v>
      </c>
      <c r="Z68" s="29">
        <f t="shared" si="163"/>
        <v>-5.9804476520672667E-2</v>
      </c>
      <c r="AA68" s="29">
        <f t="shared" si="163"/>
        <v>7.9963218105788991E-2</v>
      </c>
    </row>
    <row r="70" spans="2:27" x14ac:dyDescent="0.25">
      <c r="B70" t="s">
        <v>104</v>
      </c>
      <c r="C70" s="33">
        <f t="shared" ref="C70:AA70" si="164">C67-C43</f>
        <v>45398.348762109774</v>
      </c>
      <c r="D70" s="20">
        <f t="shared" si="164"/>
        <v>51549.878406708573</v>
      </c>
      <c r="E70" s="20">
        <f t="shared" si="164"/>
        <v>48824.688139059304</v>
      </c>
      <c r="F70" s="20">
        <f t="shared" si="164"/>
        <v>50196.591999999997</v>
      </c>
      <c r="G70" s="20">
        <f t="shared" si="164"/>
        <v>49465.105058365749</v>
      </c>
      <c r="H70" s="20">
        <f t="shared" si="164"/>
        <v>53290.960840496657</v>
      </c>
      <c r="I70" s="20">
        <f t="shared" si="164"/>
        <v>57253.406542056066</v>
      </c>
      <c r="J70" s="20">
        <f t="shared" si="164"/>
        <v>66280.072410632434</v>
      </c>
      <c r="K70" s="20">
        <f t="shared" si="164"/>
        <v>65710.069058295951</v>
      </c>
      <c r="L70" s="20">
        <f t="shared" si="164"/>
        <v>70407.235758106923</v>
      </c>
      <c r="M70" s="20">
        <f t="shared" si="164"/>
        <v>70131.966783216805</v>
      </c>
      <c r="N70" s="20">
        <f t="shared" si="164"/>
        <v>69342.456652360532</v>
      </c>
      <c r="O70" s="20">
        <f t="shared" si="164"/>
        <v>67858.290241868221</v>
      </c>
      <c r="P70" s="20">
        <f t="shared" si="164"/>
        <v>68490.178307313065</v>
      </c>
      <c r="Q70" s="20">
        <f t="shared" si="164"/>
        <v>75386.251628664511</v>
      </c>
      <c r="R70" s="20">
        <f t="shared" si="164"/>
        <v>74461.886581469633</v>
      </c>
      <c r="S70" s="20">
        <f t="shared" si="164"/>
        <v>78356.417061611384</v>
      </c>
      <c r="T70" s="20">
        <f t="shared" si="164"/>
        <v>67512.623831775694</v>
      </c>
      <c r="U70" s="20">
        <f t="shared" si="164"/>
        <v>71502.185582822072</v>
      </c>
      <c r="V70" s="20">
        <f t="shared" si="164"/>
        <v>70574.878560719633</v>
      </c>
      <c r="W70" s="20">
        <f t="shared" si="164"/>
        <v>82224.522794117627</v>
      </c>
      <c r="X70" s="20">
        <f t="shared" si="164"/>
        <v>77050.096350364969</v>
      </c>
      <c r="Y70" s="20">
        <f t="shared" si="164"/>
        <v>86351.745762711871</v>
      </c>
      <c r="Z70" s="20">
        <f t="shared" si="164"/>
        <v>85971.72817460318</v>
      </c>
      <c r="AA70" s="33">
        <f t="shared" si="164"/>
        <v>91016</v>
      </c>
    </row>
    <row r="73" spans="2:27" x14ac:dyDescent="0.25">
      <c r="Q73" s="27" t="s">
        <v>327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A34"/>
  <sheetViews>
    <sheetView zoomScaleNormal="100" workbookViewId="0"/>
  </sheetViews>
  <sheetFormatPr defaultRowHeight="15" x14ac:dyDescent="0.25"/>
  <sheetData>
    <row r="2" spans="2:27" x14ac:dyDescent="0.25">
      <c r="B2" s="7" t="s">
        <v>184</v>
      </c>
    </row>
    <row r="3" spans="2:27" x14ac:dyDescent="0.25">
      <c r="B3" s="32" t="s">
        <v>185</v>
      </c>
    </row>
    <row r="4" spans="2:27" x14ac:dyDescent="0.25">
      <c r="C4">
        <v>1999</v>
      </c>
      <c r="D4">
        <f>C4+1</f>
        <v>2000</v>
      </c>
      <c r="E4">
        <f t="shared" ref="E4:AA4" si="0">D4+1</f>
        <v>2001</v>
      </c>
      <c r="F4">
        <f t="shared" si="0"/>
        <v>2002</v>
      </c>
      <c r="G4">
        <f t="shared" si="0"/>
        <v>2003</v>
      </c>
      <c r="H4">
        <f t="shared" si="0"/>
        <v>2004</v>
      </c>
      <c r="I4">
        <f t="shared" si="0"/>
        <v>2005</v>
      </c>
      <c r="J4">
        <f t="shared" si="0"/>
        <v>2006</v>
      </c>
      <c r="K4">
        <f t="shared" si="0"/>
        <v>2007</v>
      </c>
      <c r="L4">
        <f t="shared" si="0"/>
        <v>2008</v>
      </c>
      <c r="M4">
        <f t="shared" si="0"/>
        <v>2009</v>
      </c>
      <c r="N4">
        <f t="shared" si="0"/>
        <v>2010</v>
      </c>
      <c r="O4">
        <f t="shared" si="0"/>
        <v>2011</v>
      </c>
      <c r="P4">
        <f t="shared" si="0"/>
        <v>2012</v>
      </c>
      <c r="Q4">
        <f t="shared" si="0"/>
        <v>2013</v>
      </c>
      <c r="R4">
        <f t="shared" si="0"/>
        <v>2014</v>
      </c>
      <c r="S4">
        <f t="shared" si="0"/>
        <v>2015</v>
      </c>
      <c r="T4">
        <f t="shared" si="0"/>
        <v>2016</v>
      </c>
      <c r="U4">
        <f t="shared" si="0"/>
        <v>2017</v>
      </c>
      <c r="V4">
        <f t="shared" si="0"/>
        <v>2018</v>
      </c>
      <c r="W4">
        <f t="shared" si="0"/>
        <v>2019</v>
      </c>
      <c r="X4">
        <f t="shared" si="0"/>
        <v>2020</v>
      </c>
      <c r="Y4">
        <f t="shared" si="0"/>
        <v>2021</v>
      </c>
      <c r="Z4">
        <f t="shared" si="0"/>
        <v>2022</v>
      </c>
      <c r="AA4">
        <f t="shared" si="0"/>
        <v>2023</v>
      </c>
    </row>
    <row r="5" spans="2:27" x14ac:dyDescent="0.25">
      <c r="B5" s="28" t="s">
        <v>181</v>
      </c>
    </row>
    <row r="6" spans="2:27" x14ac:dyDescent="0.25">
      <c r="B6" t="s">
        <v>178</v>
      </c>
      <c r="C6" s="13">
        <f>'Under 35 per HH Over Time'!B14</f>
        <v>14002</v>
      </c>
      <c r="D6" s="13">
        <f>'Under 35 per HH Over Time'!C14</f>
        <v>14089</v>
      </c>
      <c r="E6" s="13">
        <f>'Under 35 per HH Over Time'!D14</f>
        <v>14590</v>
      </c>
      <c r="F6" s="13">
        <f>'Under 35 per HH Over Time'!E14</f>
        <v>14976</v>
      </c>
      <c r="G6" s="13">
        <f>'Under 35 per HH Over Time'!F14</f>
        <v>15216</v>
      </c>
      <c r="H6" s="13">
        <f>'Under 35 per HH Over Time'!G14</f>
        <v>16089</v>
      </c>
      <c r="I6" s="13">
        <f>'Under 35 per HH Over Time'!H14</f>
        <v>15822</v>
      </c>
      <c r="J6" s="13">
        <f>'Under 35 per HH Over Time'!I14</f>
        <v>17790</v>
      </c>
      <c r="K6" s="13">
        <f>'Under 35 per HH Over Time'!J14</f>
        <v>18792</v>
      </c>
      <c r="L6" s="13">
        <f>'Under 35 per HH Over Time'!K14</f>
        <v>20538</v>
      </c>
      <c r="M6" s="13">
        <f>'Under 35 per HH Over Time'!L14</f>
        <v>18743</v>
      </c>
      <c r="N6" s="13">
        <f>'Under 35 per HH Over Time'!M14</f>
        <v>20478</v>
      </c>
      <c r="O6" s="13">
        <f>'Under 35 per HH Over Time'!N14</f>
        <v>22799</v>
      </c>
      <c r="P6" s="13">
        <f>'Under 35 per HH Over Time'!O14</f>
        <v>21988</v>
      </c>
      <c r="Q6" s="13">
        <f>'Under 35 per HH Over Time'!P14</f>
        <v>21618</v>
      </c>
      <c r="R6" s="13">
        <f>'Under 35 per HH Over Time'!Q14</f>
        <v>24945</v>
      </c>
      <c r="S6" s="13">
        <f>'Under 35 per HH Over Time'!R14</f>
        <v>23185</v>
      </c>
      <c r="T6" s="13">
        <f>'Under 35 per HH Over Time'!S14</f>
        <v>25297</v>
      </c>
      <c r="U6" s="13">
        <f>'Under 35 per HH Over Time'!T14</f>
        <v>26845</v>
      </c>
      <c r="V6" s="13">
        <f>'Under 35 per HH Over Time'!U14</f>
        <v>28147</v>
      </c>
      <c r="W6" s="13">
        <f>'Under 35 per HH Over Time'!V14</f>
        <v>27995</v>
      </c>
      <c r="X6" s="13">
        <f>'Under 35 per HH Over Time'!W14</f>
        <v>33616</v>
      </c>
      <c r="Y6" s="13">
        <f>'Under 35 per HH Over Time'!X14</f>
        <v>33595</v>
      </c>
      <c r="Z6" s="13">
        <f>'Under 35 per HH Over Time'!Y14</f>
        <v>33401</v>
      </c>
      <c r="AA6" s="13">
        <f>'Under 35 per HH Over Time'!Z14</f>
        <v>32144</v>
      </c>
    </row>
    <row r="7" spans="2:27" x14ac:dyDescent="0.25">
      <c r="B7" t="s">
        <v>179</v>
      </c>
      <c r="C7" s="13">
        <f>'Under 35 per HH Over Time'!B21</f>
        <v>21246</v>
      </c>
      <c r="D7" s="13">
        <f>'Under 35 per HH Over Time'!C21</f>
        <v>23543</v>
      </c>
      <c r="E7" s="13">
        <f>'Under 35 per HH Over Time'!D21</f>
        <v>23106</v>
      </c>
      <c r="F7" s="13">
        <f>'Under 35 per HH Over Time'!E21</f>
        <v>25293</v>
      </c>
      <c r="G7" s="13">
        <f>'Under 35 per HH Over Time'!F21</f>
        <v>25826</v>
      </c>
      <c r="H7" s="13">
        <f>'Under 35 per HH Over Time'!G21</f>
        <v>27761</v>
      </c>
      <c r="I7" s="13">
        <f>'Under 35 per HH Over Time'!H21</f>
        <v>30538</v>
      </c>
      <c r="J7" s="13">
        <f>'Under 35 per HH Over Time'!I21</f>
        <v>35167</v>
      </c>
      <c r="K7" s="13">
        <f>'Under 35 per HH Over Time'!J21</f>
        <v>37357</v>
      </c>
      <c r="L7" s="13">
        <f>'Under 35 per HH Over Time'!K21</f>
        <v>36879</v>
      </c>
      <c r="M7" s="13">
        <f>'Under 35 per HH Over Time'!L21</f>
        <v>36159</v>
      </c>
      <c r="N7" s="13">
        <f>'Under 35 per HH Over Time'!M21</f>
        <v>36744</v>
      </c>
      <c r="O7" s="13">
        <f>'Under 35 per HH Over Time'!N21</f>
        <v>40049</v>
      </c>
      <c r="P7" s="13">
        <f>'Under 35 per HH Over Time'!O21</f>
        <v>39771</v>
      </c>
      <c r="Q7" s="13">
        <f>'Under 35 per HH Over Time'!P21</f>
        <v>42315</v>
      </c>
      <c r="R7" s="13">
        <f>'Under 35 per HH Over Time'!Q21</f>
        <v>47887</v>
      </c>
      <c r="S7" s="13">
        <f>'Under 35 per HH Over Time'!R21</f>
        <v>42974</v>
      </c>
      <c r="T7" s="13">
        <f>'Under 35 per HH Over Time'!S21</f>
        <v>48049</v>
      </c>
      <c r="U7" s="13">
        <f>'Under 35 per HH Over Time'!T21</f>
        <v>50726</v>
      </c>
      <c r="V7" s="13">
        <f>'Under 35 per HH Over Time'!U21</f>
        <v>53374</v>
      </c>
      <c r="W7" s="13">
        <f>'Under 35 per HH Over Time'!V21</f>
        <v>59276</v>
      </c>
      <c r="X7" s="13">
        <f>'Under 35 per HH Over Time'!W21</f>
        <v>49864</v>
      </c>
      <c r="Y7" s="13">
        <f>'Under 35 per HH Over Time'!X21</f>
        <v>58354</v>
      </c>
      <c r="Z7" s="13">
        <f>'Under 35 per HH Over Time'!Y21</f>
        <v>61225</v>
      </c>
      <c r="AA7" s="13">
        <f>'Under 35 per HH Over Time'!Z21</f>
        <v>62761</v>
      </c>
    </row>
    <row r="8" spans="2:27" x14ac:dyDescent="0.25">
      <c r="B8" t="s">
        <v>180</v>
      </c>
      <c r="C8" s="20">
        <f>C6-C7</f>
        <v>-7244</v>
      </c>
      <c r="D8" s="20">
        <f>D6-D7</f>
        <v>-9454</v>
      </c>
      <c r="E8" s="20">
        <f t="shared" ref="E8:AA8" si="1">E6-E7</f>
        <v>-8516</v>
      </c>
      <c r="F8" s="20">
        <f t="shared" si="1"/>
        <v>-10317</v>
      </c>
      <c r="G8" s="20">
        <f t="shared" si="1"/>
        <v>-10610</v>
      </c>
      <c r="H8" s="20">
        <f t="shared" si="1"/>
        <v>-11672</v>
      </c>
      <c r="I8" s="20">
        <f t="shared" si="1"/>
        <v>-14716</v>
      </c>
      <c r="J8" s="20">
        <f t="shared" si="1"/>
        <v>-17377</v>
      </c>
      <c r="K8" s="20">
        <f t="shared" si="1"/>
        <v>-18565</v>
      </c>
      <c r="L8" s="20">
        <f t="shared" si="1"/>
        <v>-16341</v>
      </c>
      <c r="M8" s="20">
        <f t="shared" si="1"/>
        <v>-17416</v>
      </c>
      <c r="N8" s="20">
        <f t="shared" si="1"/>
        <v>-16266</v>
      </c>
      <c r="O8" s="20">
        <f t="shared" si="1"/>
        <v>-17250</v>
      </c>
      <c r="P8" s="20">
        <f t="shared" si="1"/>
        <v>-17783</v>
      </c>
      <c r="Q8" s="20">
        <f t="shared" si="1"/>
        <v>-20697</v>
      </c>
      <c r="R8" s="20">
        <f t="shared" si="1"/>
        <v>-22942</v>
      </c>
      <c r="S8" s="20">
        <f t="shared" si="1"/>
        <v>-19789</v>
      </c>
      <c r="T8" s="20">
        <f t="shared" si="1"/>
        <v>-22752</v>
      </c>
      <c r="U8" s="20">
        <f t="shared" si="1"/>
        <v>-23881</v>
      </c>
      <c r="V8" s="20">
        <f t="shared" si="1"/>
        <v>-25227</v>
      </c>
      <c r="W8" s="20">
        <f t="shared" si="1"/>
        <v>-31281</v>
      </c>
      <c r="X8" s="20">
        <f t="shared" si="1"/>
        <v>-16248</v>
      </c>
      <c r="Y8" s="20">
        <f t="shared" si="1"/>
        <v>-24759</v>
      </c>
      <c r="Z8" s="20">
        <f t="shared" si="1"/>
        <v>-27824</v>
      </c>
      <c r="AA8" s="20">
        <f t="shared" si="1"/>
        <v>-30617</v>
      </c>
    </row>
    <row r="9" spans="2:27" x14ac:dyDescent="0.25">
      <c r="B9" s="19" t="s">
        <v>183</v>
      </c>
      <c r="C9" s="19"/>
      <c r="D9" s="29">
        <f>D8/C8-1</f>
        <v>0.3050800662617339</v>
      </c>
      <c r="E9" s="29">
        <f t="shared" ref="E9:AA9" si="2">E8/D8-1</f>
        <v>-9.9217262534377015E-2</v>
      </c>
      <c r="F9" s="29">
        <f t="shared" si="2"/>
        <v>0.21148426491310479</v>
      </c>
      <c r="G9" s="29">
        <f t="shared" si="2"/>
        <v>2.839972860327622E-2</v>
      </c>
      <c r="H9" s="29">
        <f t="shared" si="2"/>
        <v>0.10009425070688027</v>
      </c>
      <c r="I9" s="29">
        <f t="shared" si="2"/>
        <v>0.26079506511309125</v>
      </c>
      <c r="J9" s="29">
        <f t="shared" si="2"/>
        <v>0.18082359336776288</v>
      </c>
      <c r="K9" s="29">
        <f t="shared" si="2"/>
        <v>6.8366231225182705E-2</v>
      </c>
      <c r="L9" s="29">
        <f t="shared" si="2"/>
        <v>-0.11979531376245622</v>
      </c>
      <c r="M9" s="29">
        <f t="shared" si="2"/>
        <v>6.5785447647022766E-2</v>
      </c>
      <c r="N9" s="29">
        <f t="shared" si="2"/>
        <v>-6.6031235645383601E-2</v>
      </c>
      <c r="O9" s="29">
        <f t="shared" si="2"/>
        <v>6.0494282552563616E-2</v>
      </c>
      <c r="P9" s="29">
        <f t="shared" si="2"/>
        <v>3.0898550724637763E-2</v>
      </c>
      <c r="Q9" s="29">
        <f t="shared" si="2"/>
        <v>0.16386436484282751</v>
      </c>
      <c r="R9" s="29">
        <f t="shared" si="2"/>
        <v>0.10846982654491</v>
      </c>
      <c r="S9" s="29">
        <f t="shared" si="2"/>
        <v>-0.13743352802719899</v>
      </c>
      <c r="T9" s="29">
        <f t="shared" si="2"/>
        <v>0.14972964778412257</v>
      </c>
      <c r="U9" s="29">
        <f t="shared" si="2"/>
        <v>4.9622011251758025E-2</v>
      </c>
      <c r="V9" s="29">
        <f t="shared" si="2"/>
        <v>5.6362798877768849E-2</v>
      </c>
      <c r="W9" s="29">
        <f t="shared" si="2"/>
        <v>0.23998097276727326</v>
      </c>
      <c r="X9" s="29">
        <f t="shared" si="2"/>
        <v>-0.48057926536875417</v>
      </c>
      <c r="Y9" s="29">
        <f t="shared" si="2"/>
        <v>0.52381831610044305</v>
      </c>
      <c r="Z9" s="29">
        <f t="shared" si="2"/>
        <v>0.12379336806817731</v>
      </c>
      <c r="AA9" s="29">
        <f t="shared" si="2"/>
        <v>0.1003809660724555</v>
      </c>
    </row>
    <row r="11" spans="2:27" x14ac:dyDescent="0.25">
      <c r="B11" s="28" t="s">
        <v>182</v>
      </c>
    </row>
    <row r="12" spans="2:27" x14ac:dyDescent="0.25">
      <c r="B12" t="s">
        <v>178</v>
      </c>
      <c r="C12" s="13">
        <f>'Under 35 per HH Over Time'!AA14</f>
        <v>82093</v>
      </c>
      <c r="D12" s="13">
        <f>'Under 35 per HH Over Time'!AB14</f>
        <v>85719</v>
      </c>
      <c r="E12" s="13">
        <f>'Under 35 per HH Over Time'!AC14</f>
        <v>86051</v>
      </c>
      <c r="F12" s="13">
        <f>'Under 35 per HH Over Time'!AD14</f>
        <v>88957</v>
      </c>
      <c r="G12" s="13">
        <f>'Under 35 per HH Over Time'!AE14</f>
        <v>88944</v>
      </c>
      <c r="H12" s="13">
        <f>'Under 35 per HH Over Time'!AF14</f>
        <v>93273</v>
      </c>
      <c r="I12" s="13">
        <f>'Under 35 per HH Over Time'!AG14</f>
        <v>100011</v>
      </c>
      <c r="J12" s="13">
        <f>'Under 35 per HH Over Time'!AH14</f>
        <v>98445</v>
      </c>
      <c r="K12" s="13">
        <f>'Under 35 per HH Over Time'!AI14</f>
        <v>105455</v>
      </c>
      <c r="L12" s="13">
        <f>'Under 35 per HH Over Time'!AJ14</f>
        <v>106598</v>
      </c>
      <c r="M12" s="13">
        <f>'Under 35 per HH Over Time'!AK14</f>
        <v>114417</v>
      </c>
      <c r="N12" s="13">
        <f>'Under 35 per HH Over Time'!AL14</f>
        <v>112246</v>
      </c>
      <c r="O12" s="13">
        <f>'Under 35 per HH Over Time'!AM14</f>
        <v>114151</v>
      </c>
      <c r="P12" s="13">
        <f>'Under 35 per HH Over Time'!AN14</f>
        <v>123692</v>
      </c>
      <c r="Q12" s="13">
        <f>'Under 35 per HH Over Time'!AO14</f>
        <v>117129</v>
      </c>
      <c r="R12" s="13">
        <f>'Under 35 per HH Over Time'!AP14</f>
        <v>130009</v>
      </c>
      <c r="S12" s="13">
        <f>'Under 35 per HH Over Time'!AQ14</f>
        <v>128439</v>
      </c>
      <c r="T12" s="13">
        <f>'Under 35 per HH Over Time'!AR14</f>
        <v>131995</v>
      </c>
      <c r="U12" s="13">
        <f>'Under 35 per HH Over Time'!AS14</f>
        <v>136602</v>
      </c>
      <c r="V12" s="13">
        <f>'Under 35 per HH Over Time'!AT14</f>
        <v>138373</v>
      </c>
      <c r="W12" s="13">
        <f>'Under 35 per HH Over Time'!AU14</f>
        <v>146252</v>
      </c>
      <c r="X12" s="13">
        <f>'Under 35 per HH Over Time'!AV14</f>
        <v>153590</v>
      </c>
      <c r="Y12" s="13">
        <f>'Under 35 per HH Over Time'!AW14</f>
        <v>177792</v>
      </c>
      <c r="Z12" s="13">
        <f>'Under 35 per HH Over Time'!AX14</f>
        <v>193694</v>
      </c>
      <c r="AA12" s="13">
        <f>'Under 35 per HH Over Time'!AY14</f>
        <v>182418</v>
      </c>
    </row>
    <row r="13" spans="2:27" x14ac:dyDescent="0.25">
      <c r="B13" t="s">
        <v>179</v>
      </c>
      <c r="C13" s="13">
        <f>'Under 35 per HH Over Time'!AA21</f>
        <v>69707</v>
      </c>
      <c r="D13" s="13">
        <f>'Under 35 per HH Over Time'!AB21</f>
        <v>68117</v>
      </c>
      <c r="E13" s="13">
        <f>'Under 35 per HH Over Time'!AC21</f>
        <v>66937</v>
      </c>
      <c r="F13" s="13">
        <f>'Under 35 per HH Over Time'!AD21</f>
        <v>69533</v>
      </c>
      <c r="G13" s="13">
        <f>'Under 35 per HH Over Time'!AE21</f>
        <v>70861</v>
      </c>
      <c r="H13" s="13">
        <f>'Under 35 per HH Over Time'!AF21</f>
        <v>72890</v>
      </c>
      <c r="I13" s="13">
        <f>'Under 35 per HH Over Time'!AG21</f>
        <v>81337</v>
      </c>
      <c r="J13" s="13">
        <f>'Under 35 per HH Over Time'!AH21</f>
        <v>80414</v>
      </c>
      <c r="K13" s="13">
        <f>'Under 35 per HH Over Time'!AI21</f>
        <v>83908</v>
      </c>
      <c r="L13" s="13">
        <f>'Under 35 per HH Over Time'!AJ21</f>
        <v>84936</v>
      </c>
      <c r="M13" s="13">
        <f>'Under 35 per HH Over Time'!AK21</f>
        <v>82011</v>
      </c>
      <c r="N13" s="13">
        <f>'Under 35 per HH Over Time'!AL21</f>
        <v>83616</v>
      </c>
      <c r="O13" s="13">
        <f>'Under 35 per HH Over Time'!AM21</f>
        <v>87750</v>
      </c>
      <c r="P13" s="13">
        <f>'Under 35 per HH Over Time'!AN21</f>
        <v>91641</v>
      </c>
      <c r="Q13" s="13">
        <f>'Under 35 per HH Over Time'!AO21</f>
        <v>99946</v>
      </c>
      <c r="R13" s="13">
        <f>'Under 35 per HH Over Time'!AP21</f>
        <v>105413</v>
      </c>
      <c r="S13" s="13">
        <f>'Under 35 per HH Over Time'!AQ21</f>
        <v>101901</v>
      </c>
      <c r="T13" s="13">
        <f>'Under 35 per HH Over Time'!AR21</f>
        <v>107483</v>
      </c>
      <c r="U13" s="13">
        <f>'Under 35 per HH Over Time'!AS21</f>
        <v>110657</v>
      </c>
      <c r="V13" s="13">
        <f>'Under 35 per HH Over Time'!AT21</f>
        <v>111995</v>
      </c>
      <c r="W13" s="13">
        <f>'Under 35 per HH Over Time'!AU21</f>
        <v>102043</v>
      </c>
      <c r="X13" s="13">
        <f>'Under 35 per HH Over Time'!AV21</f>
        <v>110523</v>
      </c>
      <c r="Y13" s="13">
        <f>'Under 35 per HH Over Time'!AW21</f>
        <v>118742</v>
      </c>
      <c r="Z13" s="13">
        <f>'Under 35 per HH Over Time'!AX21</f>
        <v>125889</v>
      </c>
      <c r="AA13" s="13">
        <f>'Under 35 per HH Over Time'!AY21</f>
        <v>128919</v>
      </c>
    </row>
    <row r="14" spans="2:27" x14ac:dyDescent="0.25">
      <c r="B14" t="s">
        <v>180</v>
      </c>
      <c r="C14" s="20">
        <f>C12-C13</f>
        <v>12386</v>
      </c>
      <c r="D14" s="20">
        <f>D12-D13</f>
        <v>17602</v>
      </c>
      <c r="E14" s="20">
        <f t="shared" ref="E14:AA14" si="3">E12-E13</f>
        <v>19114</v>
      </c>
      <c r="F14" s="20">
        <f t="shared" si="3"/>
        <v>19424</v>
      </c>
      <c r="G14" s="20">
        <f t="shared" si="3"/>
        <v>18083</v>
      </c>
      <c r="H14" s="20">
        <f t="shared" si="3"/>
        <v>20383</v>
      </c>
      <c r="I14" s="20">
        <f t="shared" si="3"/>
        <v>18674</v>
      </c>
      <c r="J14" s="20">
        <f t="shared" si="3"/>
        <v>18031</v>
      </c>
      <c r="K14" s="20">
        <f t="shared" si="3"/>
        <v>21547</v>
      </c>
      <c r="L14" s="20">
        <f t="shared" si="3"/>
        <v>21662</v>
      </c>
      <c r="M14" s="20">
        <f t="shared" si="3"/>
        <v>32406</v>
      </c>
      <c r="N14" s="20">
        <f t="shared" si="3"/>
        <v>28630</v>
      </c>
      <c r="O14" s="20">
        <f t="shared" si="3"/>
        <v>26401</v>
      </c>
      <c r="P14" s="20">
        <f t="shared" si="3"/>
        <v>32051</v>
      </c>
      <c r="Q14" s="20">
        <f t="shared" si="3"/>
        <v>17183</v>
      </c>
      <c r="R14" s="20">
        <f t="shared" si="3"/>
        <v>24596</v>
      </c>
      <c r="S14" s="20">
        <f t="shared" si="3"/>
        <v>26538</v>
      </c>
      <c r="T14" s="20">
        <f t="shared" si="3"/>
        <v>24512</v>
      </c>
      <c r="U14" s="20">
        <f t="shared" si="3"/>
        <v>25945</v>
      </c>
      <c r="V14" s="20">
        <f t="shared" si="3"/>
        <v>26378</v>
      </c>
      <c r="W14" s="20">
        <f t="shared" si="3"/>
        <v>44209</v>
      </c>
      <c r="X14" s="20">
        <f t="shared" si="3"/>
        <v>43067</v>
      </c>
      <c r="Y14" s="20">
        <f t="shared" si="3"/>
        <v>59050</v>
      </c>
      <c r="Z14" s="20">
        <f t="shared" si="3"/>
        <v>67805</v>
      </c>
      <c r="AA14" s="20">
        <f t="shared" si="3"/>
        <v>53499</v>
      </c>
    </row>
    <row r="15" spans="2:27" x14ac:dyDescent="0.25">
      <c r="B15" t="s">
        <v>183</v>
      </c>
      <c r="C15" s="19"/>
      <c r="D15" s="29">
        <f>D14/C14-1</f>
        <v>0.4211206200549007</v>
      </c>
      <c r="E15" s="29">
        <f t="shared" ref="E15:AA15" si="4">E14/D14-1</f>
        <v>8.5899329621633935E-2</v>
      </c>
      <c r="F15" s="29">
        <f t="shared" si="4"/>
        <v>1.6218478602071817E-2</v>
      </c>
      <c r="G15" s="29">
        <f t="shared" si="4"/>
        <v>-6.9038303130148249E-2</v>
      </c>
      <c r="H15" s="29">
        <f t="shared" si="4"/>
        <v>0.12719128463197471</v>
      </c>
      <c r="I15" s="29">
        <f t="shared" si="4"/>
        <v>-8.3844380120688844E-2</v>
      </c>
      <c r="J15" s="29">
        <f t="shared" si="4"/>
        <v>-3.4432901360179957E-2</v>
      </c>
      <c r="K15" s="29">
        <f t="shared" si="4"/>
        <v>0.1949975042981531</v>
      </c>
      <c r="L15" s="29">
        <f t="shared" si="4"/>
        <v>5.3371699076436574E-3</v>
      </c>
      <c r="M15" s="29">
        <f t="shared" si="4"/>
        <v>0.49598375034622832</v>
      </c>
      <c r="N15" s="29">
        <f t="shared" si="4"/>
        <v>-0.11652163179658093</v>
      </c>
      <c r="O15" s="29">
        <f t="shared" si="4"/>
        <v>-7.7855396437303548E-2</v>
      </c>
      <c r="P15" s="29">
        <f t="shared" si="4"/>
        <v>0.21400704518768232</v>
      </c>
      <c r="Q15" s="29">
        <f t="shared" si="4"/>
        <v>-0.46388568219400328</v>
      </c>
      <c r="R15" s="29">
        <f t="shared" si="4"/>
        <v>0.43141477041261722</v>
      </c>
      <c r="S15" s="29">
        <f t="shared" si="4"/>
        <v>7.8955927793137093E-2</v>
      </c>
      <c r="T15" s="29">
        <f t="shared" si="4"/>
        <v>-7.6343356696058517E-2</v>
      </c>
      <c r="U15" s="29">
        <f t="shared" si="4"/>
        <v>5.8461161879895585E-2</v>
      </c>
      <c r="V15" s="29">
        <f t="shared" si="4"/>
        <v>1.6689150125265062E-2</v>
      </c>
      <c r="W15" s="29">
        <f t="shared" si="4"/>
        <v>0.67597998331943288</v>
      </c>
      <c r="X15" s="29">
        <f t="shared" si="4"/>
        <v>-2.5831844194621034E-2</v>
      </c>
      <c r="Y15" s="29">
        <f t="shared" si="4"/>
        <v>0.37111941858035147</v>
      </c>
      <c r="Z15" s="29">
        <f t="shared" si="4"/>
        <v>0.14826418289585108</v>
      </c>
      <c r="AA15" s="29">
        <f t="shared" si="4"/>
        <v>-0.21098739031044911</v>
      </c>
    </row>
    <row r="17" spans="2:27" x14ac:dyDescent="0.25">
      <c r="B17" t="s">
        <v>186</v>
      </c>
      <c r="C17" s="30">
        <f>CPI!B12</f>
        <v>92.9</v>
      </c>
      <c r="D17" s="30">
        <f>CPI!C12</f>
        <v>95.4</v>
      </c>
      <c r="E17" s="30">
        <f>CPI!D12</f>
        <v>97.8</v>
      </c>
      <c r="F17" s="30">
        <f>CPI!E12</f>
        <v>100</v>
      </c>
      <c r="G17" s="30">
        <f>CPI!F12</f>
        <v>102.8</v>
      </c>
      <c r="H17" s="30">
        <f>CPI!G12</f>
        <v>104.7</v>
      </c>
      <c r="I17" s="30">
        <f>CPI!H12</f>
        <v>107</v>
      </c>
      <c r="J17" s="30">
        <f>CPI!I12</f>
        <v>109.1</v>
      </c>
      <c r="K17" s="30">
        <f>CPI!J12</f>
        <v>111.5</v>
      </c>
      <c r="L17" s="30">
        <f>CPI!K12</f>
        <v>114.1</v>
      </c>
      <c r="M17" s="30">
        <f>CPI!L12</f>
        <v>114.4</v>
      </c>
      <c r="N17" s="30">
        <f>CPI!M12</f>
        <v>116.5</v>
      </c>
      <c r="O17" s="30">
        <f>CPI!N12</f>
        <v>119.9</v>
      </c>
      <c r="P17" s="30">
        <f>CPI!O12</f>
        <v>121.7</v>
      </c>
      <c r="Q17" s="30">
        <f>CPI!P12</f>
        <v>122.8</v>
      </c>
      <c r="R17" s="30">
        <f>CPI!Q12</f>
        <v>125.2</v>
      </c>
      <c r="S17" s="30">
        <f>CPI!R12</f>
        <v>126.6</v>
      </c>
      <c r="T17" s="30">
        <f>CPI!S12</f>
        <v>128.4</v>
      </c>
      <c r="U17" s="30">
        <f>CPI!T12</f>
        <v>130.4</v>
      </c>
      <c r="V17" s="30">
        <f>CPI!U12</f>
        <v>133.4</v>
      </c>
      <c r="W17" s="30">
        <f>CPI!V12</f>
        <v>136</v>
      </c>
      <c r="X17" s="30">
        <f>CPI!W12</f>
        <v>137</v>
      </c>
      <c r="Y17" s="30">
        <f>CPI!X12</f>
        <v>141.6</v>
      </c>
      <c r="Z17" s="30">
        <f>CPI!Y12</f>
        <v>151.19999999999999</v>
      </c>
      <c r="AA17" s="30">
        <f>CPI!Z12</f>
        <v>157.1</v>
      </c>
    </row>
    <row r="19" spans="2:27" x14ac:dyDescent="0.25">
      <c r="B19" s="7" t="s">
        <v>184</v>
      </c>
    </row>
    <row r="20" spans="2:27" x14ac:dyDescent="0.25">
      <c r="B20" s="32" t="s">
        <v>187</v>
      </c>
    </row>
    <row r="21" spans="2:27" x14ac:dyDescent="0.25">
      <c r="C21">
        <v>1999</v>
      </c>
      <c r="D21">
        <f>C21+1</f>
        <v>2000</v>
      </c>
      <c r="E21">
        <f t="shared" ref="E21:AA21" si="5">D21+1</f>
        <v>2001</v>
      </c>
      <c r="F21">
        <f t="shared" si="5"/>
        <v>2002</v>
      </c>
      <c r="G21">
        <f t="shared" si="5"/>
        <v>2003</v>
      </c>
      <c r="H21">
        <f t="shared" si="5"/>
        <v>2004</v>
      </c>
      <c r="I21">
        <f t="shared" si="5"/>
        <v>2005</v>
      </c>
      <c r="J21">
        <f t="shared" si="5"/>
        <v>2006</v>
      </c>
      <c r="K21">
        <f t="shared" si="5"/>
        <v>2007</v>
      </c>
      <c r="L21">
        <f t="shared" si="5"/>
        <v>2008</v>
      </c>
      <c r="M21">
        <f t="shared" si="5"/>
        <v>2009</v>
      </c>
      <c r="N21">
        <f t="shared" si="5"/>
        <v>2010</v>
      </c>
      <c r="O21">
        <f t="shared" si="5"/>
        <v>2011</v>
      </c>
      <c r="P21">
        <f t="shared" si="5"/>
        <v>2012</v>
      </c>
      <c r="Q21">
        <f t="shared" si="5"/>
        <v>2013</v>
      </c>
      <c r="R21">
        <f t="shared" si="5"/>
        <v>2014</v>
      </c>
      <c r="S21">
        <f t="shared" si="5"/>
        <v>2015</v>
      </c>
      <c r="T21">
        <f t="shared" si="5"/>
        <v>2016</v>
      </c>
      <c r="U21">
        <f t="shared" si="5"/>
        <v>2017</v>
      </c>
      <c r="V21">
        <f t="shared" si="5"/>
        <v>2018</v>
      </c>
      <c r="W21">
        <f t="shared" si="5"/>
        <v>2019</v>
      </c>
      <c r="X21">
        <f t="shared" si="5"/>
        <v>2020</v>
      </c>
      <c r="Y21">
        <f t="shared" si="5"/>
        <v>2021</v>
      </c>
      <c r="Z21">
        <f t="shared" si="5"/>
        <v>2022</v>
      </c>
      <c r="AA21">
        <f t="shared" si="5"/>
        <v>2023</v>
      </c>
    </row>
    <row r="22" spans="2:27" x14ac:dyDescent="0.25">
      <c r="B22" s="28" t="s">
        <v>181</v>
      </c>
    </row>
    <row r="23" spans="2:27" x14ac:dyDescent="0.25">
      <c r="B23" t="s">
        <v>178</v>
      </c>
      <c r="C23" s="15">
        <f>C6*($AA$17/C$17)</f>
        <v>23678.301399354143</v>
      </c>
      <c r="D23" s="15">
        <f t="shared" ref="D23:AA23" si="6">D6*($AA$17/D$17)</f>
        <v>23201.068134171906</v>
      </c>
      <c r="E23" s="15">
        <f t="shared" si="6"/>
        <v>23436.492842535787</v>
      </c>
      <c r="F23" s="15">
        <f t="shared" si="6"/>
        <v>23527.295999999998</v>
      </c>
      <c r="G23" s="15">
        <f t="shared" si="6"/>
        <v>23253.245136186768</v>
      </c>
      <c r="H23" s="15">
        <f t="shared" si="6"/>
        <v>24141.183381088824</v>
      </c>
      <c r="I23" s="15">
        <f t="shared" si="6"/>
        <v>23230.244859813083</v>
      </c>
      <c r="J23" s="15">
        <f t="shared" si="6"/>
        <v>25616.947754353805</v>
      </c>
      <c r="K23" s="15">
        <f t="shared" si="6"/>
        <v>26477.338116591927</v>
      </c>
      <c r="L23" s="15">
        <f t="shared" si="6"/>
        <v>28278</v>
      </c>
      <c r="M23" s="15">
        <f t="shared" si="6"/>
        <v>25738.857517482516</v>
      </c>
      <c r="N23" s="15">
        <f t="shared" si="6"/>
        <v>27614.53905579399</v>
      </c>
      <c r="O23" s="15">
        <f t="shared" si="6"/>
        <v>29872.584653878232</v>
      </c>
      <c r="P23" s="15">
        <f t="shared" si="6"/>
        <v>28383.85209531635</v>
      </c>
      <c r="Q23" s="15">
        <f t="shared" si="6"/>
        <v>27656.252442996742</v>
      </c>
      <c r="R23" s="15">
        <f t="shared" si="6"/>
        <v>31300.794728434503</v>
      </c>
      <c r="S23" s="15">
        <f t="shared" si="6"/>
        <v>28770.643759873616</v>
      </c>
      <c r="T23" s="15">
        <f t="shared" si="6"/>
        <v>30951.391744548284</v>
      </c>
      <c r="U23" s="15">
        <f t="shared" si="6"/>
        <v>32341.637269938648</v>
      </c>
      <c r="V23" s="15">
        <f t="shared" si="6"/>
        <v>33147.62893553223</v>
      </c>
      <c r="W23" s="15">
        <f t="shared" si="6"/>
        <v>32338.341911764703</v>
      </c>
      <c r="X23" s="15">
        <f t="shared" si="6"/>
        <v>38547.982481751824</v>
      </c>
      <c r="Y23" s="15">
        <f t="shared" si="6"/>
        <v>37272.418785310736</v>
      </c>
      <c r="Z23" s="15">
        <f t="shared" si="6"/>
        <v>34704.3458994709</v>
      </c>
      <c r="AA23" s="15">
        <f t="shared" si="6"/>
        <v>32144</v>
      </c>
    </row>
    <row r="24" spans="2:27" x14ac:dyDescent="0.25">
      <c r="B24" t="s">
        <v>179</v>
      </c>
      <c r="C24" s="15">
        <f t="shared" ref="C24:AA24" si="7">C7*($AA$17/C$17)</f>
        <v>35928.381054897734</v>
      </c>
      <c r="D24" s="15">
        <f t="shared" si="7"/>
        <v>38769.447589098527</v>
      </c>
      <c r="E24" s="15">
        <f t="shared" si="7"/>
        <v>37116.079754601225</v>
      </c>
      <c r="F24" s="15">
        <f t="shared" si="7"/>
        <v>39735.303</v>
      </c>
      <c r="G24" s="15">
        <f t="shared" si="7"/>
        <v>39467.554474708166</v>
      </c>
      <c r="H24" s="15">
        <f t="shared" si="7"/>
        <v>41654.757402101241</v>
      </c>
      <c r="I24" s="15">
        <f t="shared" si="7"/>
        <v>44836.633644859809</v>
      </c>
      <c r="J24" s="15">
        <f t="shared" si="7"/>
        <v>50639.190650779106</v>
      </c>
      <c r="K24" s="15">
        <f t="shared" si="7"/>
        <v>52634.84035874439</v>
      </c>
      <c r="L24" s="15">
        <f t="shared" si="7"/>
        <v>50777.308501314641</v>
      </c>
      <c r="M24" s="15">
        <f t="shared" si="7"/>
        <v>49655.40996503496</v>
      </c>
      <c r="N24" s="15">
        <f t="shared" si="7"/>
        <v>49549.205150214591</v>
      </c>
      <c r="O24" s="15">
        <f t="shared" si="7"/>
        <v>52474.544620517096</v>
      </c>
      <c r="P24" s="15">
        <f t="shared" si="7"/>
        <v>51339.55710764174</v>
      </c>
      <c r="Q24" s="15">
        <f t="shared" si="7"/>
        <v>54134.254885993483</v>
      </c>
      <c r="R24" s="15">
        <f t="shared" si="7"/>
        <v>60088.240415335458</v>
      </c>
      <c r="S24" s="15">
        <f t="shared" si="7"/>
        <v>53327.135860979462</v>
      </c>
      <c r="T24" s="15">
        <f t="shared" si="7"/>
        <v>58788.924454828652</v>
      </c>
      <c r="U24" s="15">
        <f t="shared" si="7"/>
        <v>61112.38190184049</v>
      </c>
      <c r="V24" s="15">
        <f t="shared" si="7"/>
        <v>62856.487256371809</v>
      </c>
      <c r="W24" s="15">
        <f t="shared" si="7"/>
        <v>68472.49705882353</v>
      </c>
      <c r="X24" s="15">
        <f t="shared" si="7"/>
        <v>57179.813138686128</v>
      </c>
      <c r="Y24" s="15">
        <f t="shared" si="7"/>
        <v>64741.62005649718</v>
      </c>
      <c r="Z24" s="15">
        <f t="shared" si="7"/>
        <v>63614.070767195764</v>
      </c>
      <c r="AA24" s="15">
        <f t="shared" si="7"/>
        <v>62761</v>
      </c>
    </row>
    <row r="25" spans="2:27" x14ac:dyDescent="0.25">
      <c r="B25" s="7" t="s">
        <v>180</v>
      </c>
      <c r="C25" s="31">
        <f>C23-C24</f>
        <v>-12250.079655543592</v>
      </c>
      <c r="D25" s="31">
        <f>D23-D24</f>
        <v>-15568.37945492662</v>
      </c>
      <c r="E25" s="31">
        <f t="shared" ref="E25" si="8">E23-E24</f>
        <v>-13679.586912065439</v>
      </c>
      <c r="F25" s="31">
        <f t="shared" ref="F25" si="9">F23-F24</f>
        <v>-16208.007000000001</v>
      </c>
      <c r="G25" s="31">
        <f t="shared" ref="G25" si="10">G23-G24</f>
        <v>-16214.309338521398</v>
      </c>
      <c r="H25" s="31">
        <f t="shared" ref="H25" si="11">H23-H24</f>
        <v>-17513.574021012417</v>
      </c>
      <c r="I25" s="31">
        <f t="shared" ref="I25" si="12">I23-I24</f>
        <v>-21606.388785046725</v>
      </c>
      <c r="J25" s="31">
        <f t="shared" ref="J25" si="13">J23-J24</f>
        <v>-25022.242896425301</v>
      </c>
      <c r="K25" s="31">
        <f t="shared" ref="K25" si="14">K23-K24</f>
        <v>-26157.502242152463</v>
      </c>
      <c r="L25" s="31">
        <f t="shared" ref="L25" si="15">L23-L24</f>
        <v>-22499.308501314641</v>
      </c>
      <c r="M25" s="31">
        <f t="shared" ref="M25" si="16">M23-M24</f>
        <v>-23916.552447552443</v>
      </c>
      <c r="N25" s="31">
        <f t="shared" ref="N25" si="17">N23-N24</f>
        <v>-21934.666094420601</v>
      </c>
      <c r="O25" s="31">
        <f t="shared" ref="O25" si="18">O23-O24</f>
        <v>-22601.959966638864</v>
      </c>
      <c r="P25" s="31">
        <f t="shared" ref="P25" si="19">P23-P24</f>
        <v>-22955.70501232539</v>
      </c>
      <c r="Q25" s="31">
        <f t="shared" ref="Q25" si="20">Q23-Q24</f>
        <v>-26478.002442996742</v>
      </c>
      <c r="R25" s="31">
        <f t="shared" ref="R25" si="21">R23-R24</f>
        <v>-28787.445686900955</v>
      </c>
      <c r="S25" s="31">
        <f t="shared" ref="S25" si="22">S23-S24</f>
        <v>-24556.492101105847</v>
      </c>
      <c r="T25" s="31">
        <f t="shared" ref="T25" si="23">T23-T24</f>
        <v>-27837.532710280368</v>
      </c>
      <c r="U25" s="31">
        <f t="shared" ref="U25" si="24">U23-U24</f>
        <v>-28770.744631901842</v>
      </c>
      <c r="V25" s="31">
        <f t="shared" ref="V25" si="25">V23-V24</f>
        <v>-29708.858320839579</v>
      </c>
      <c r="W25" s="31">
        <f t="shared" ref="W25" si="26">W23-W24</f>
        <v>-36134.155147058831</v>
      </c>
      <c r="X25" s="31">
        <f t="shared" ref="X25" si="27">X23-X24</f>
        <v>-18631.830656934304</v>
      </c>
      <c r="Y25" s="31">
        <f t="shared" ref="Y25" si="28">Y23-Y24</f>
        <v>-27469.201271186445</v>
      </c>
      <c r="Z25" s="31">
        <f t="shared" ref="Z25" si="29">Z23-Z24</f>
        <v>-28909.724867724864</v>
      </c>
      <c r="AA25" s="31">
        <f t="shared" ref="AA25" si="30">AA23-AA24</f>
        <v>-30617</v>
      </c>
    </row>
    <row r="26" spans="2:27" x14ac:dyDescent="0.25">
      <c r="B26" s="19" t="s">
        <v>183</v>
      </c>
      <c r="C26" s="19"/>
      <c r="D26" s="29">
        <f>D25/C25-1</f>
        <v>0.27087985488170929</v>
      </c>
      <c r="E26" s="29">
        <f t="shared" ref="E26" si="31">E25/D25-1</f>
        <v>-0.12132236038629396</v>
      </c>
      <c r="F26" s="29">
        <f t="shared" ref="F26" si="32">F25/E25-1</f>
        <v>0.18483161108501656</v>
      </c>
      <c r="G26" s="29">
        <f t="shared" ref="G26" si="33">G25/F25-1</f>
        <v>3.8884105377023914E-4</v>
      </c>
      <c r="H26" s="29">
        <f t="shared" ref="H26" si="34">H25/G25-1</f>
        <v>8.0130744724616232E-2</v>
      </c>
      <c r="I26" s="29">
        <f t="shared" ref="I26" si="35">I25/H25-1</f>
        <v>0.23369386277888426</v>
      </c>
      <c r="J26" s="29">
        <f t="shared" ref="J26" si="36">J25/I25-1</f>
        <v>0.1580946332754416</v>
      </c>
      <c r="K26" s="29">
        <f t="shared" ref="K26" si="37">K25/J25-1</f>
        <v>4.53700074140575E-2</v>
      </c>
      <c r="L26" s="29">
        <f t="shared" ref="L26" si="38">L25/K25-1</f>
        <v>-0.13985256340502927</v>
      </c>
      <c r="M26" s="29">
        <f t="shared" ref="M26" si="39">M25/L25-1</f>
        <v>6.2990555738857257E-2</v>
      </c>
      <c r="N26" s="29">
        <f t="shared" ref="N26" si="40">N25/M25-1</f>
        <v>-8.286672410156104E-2</v>
      </c>
      <c r="O26" s="29">
        <f t="shared" ref="O26" si="41">O25/N25-1</f>
        <v>3.0421884214959505E-2</v>
      </c>
      <c r="P26" s="29">
        <f t="shared" ref="P26" si="42">P25/O25-1</f>
        <v>1.5651078322794332E-2</v>
      </c>
      <c r="Q26" s="29">
        <f t="shared" ref="Q26" si="43">Q25/P25-1</f>
        <v>0.15343886971801379</v>
      </c>
      <c r="R26" s="29">
        <f t="shared" ref="R26" si="44">R25/Q25-1</f>
        <v>8.7221203671844494E-2</v>
      </c>
      <c r="S26" s="29">
        <f t="shared" ref="S26" si="45">S25/R25-1</f>
        <v>-0.14697217779625038</v>
      </c>
      <c r="T26" s="29">
        <f t="shared" ref="T26" si="46">T25/S25-1</f>
        <v>0.13361194244135399</v>
      </c>
      <c r="U26" s="29">
        <f t="shared" ref="U26" si="47">U25/T25-1</f>
        <v>3.3523514146670097E-2</v>
      </c>
      <c r="V26" s="29">
        <f t="shared" ref="V26" si="48">V25/U25-1</f>
        <v>3.2606514045435242E-2</v>
      </c>
      <c r="W26" s="29">
        <f t="shared" ref="W26" si="49">W25/V25-1</f>
        <v>0.21627545417025207</v>
      </c>
      <c r="X26" s="29">
        <f t="shared" ref="X26" si="50">X25/W25-1</f>
        <v>-0.4843706575923401</v>
      </c>
      <c r="Y26" s="29">
        <f t="shared" ref="Y26" si="51">Y25/X25-1</f>
        <v>0.47431574368475116</v>
      </c>
      <c r="Z26" s="29">
        <f t="shared" ref="Z26" si="52">Z25/Y25-1</f>
        <v>5.2441408190832428E-2</v>
      </c>
      <c r="AA26" s="29">
        <f t="shared" ref="AA26" si="53">AA25/Z25-1</f>
        <v>5.9055391916965405E-2</v>
      </c>
    </row>
    <row r="28" spans="2:27" x14ac:dyDescent="0.25">
      <c r="B28" s="28" t="s">
        <v>182</v>
      </c>
    </row>
    <row r="29" spans="2:27" x14ac:dyDescent="0.25">
      <c r="B29" t="s">
        <v>178</v>
      </c>
      <c r="C29" s="15">
        <f>C12*($AA$17/C$17)</f>
        <v>138824.65339074272</v>
      </c>
      <c r="D29" s="15">
        <f t="shared" ref="D29:AA29" si="54">D12*($AA$17/D$17)</f>
        <v>141157.80817610063</v>
      </c>
      <c r="E29" s="15">
        <f t="shared" si="54"/>
        <v>138227.11758691206</v>
      </c>
      <c r="F29" s="15">
        <f t="shared" si="54"/>
        <v>139751.44699999999</v>
      </c>
      <c r="G29" s="15">
        <f t="shared" si="54"/>
        <v>135925.12062256809</v>
      </c>
      <c r="H29" s="15">
        <f t="shared" si="54"/>
        <v>139954.04297994269</v>
      </c>
      <c r="I29" s="15">
        <f t="shared" si="54"/>
        <v>146838.58037383176</v>
      </c>
      <c r="J29" s="15">
        <f t="shared" si="54"/>
        <v>141757.19065077911</v>
      </c>
      <c r="K29" s="15">
        <f t="shared" si="54"/>
        <v>148582.78475336323</v>
      </c>
      <c r="L29" s="15">
        <f t="shared" si="54"/>
        <v>146770.77826468012</v>
      </c>
      <c r="M29" s="15">
        <f t="shared" si="54"/>
        <v>157123.34527972026</v>
      </c>
      <c r="N29" s="15">
        <f t="shared" si="54"/>
        <v>151363.49012875537</v>
      </c>
      <c r="O29" s="15">
        <f t="shared" si="54"/>
        <v>149567.3236030025</v>
      </c>
      <c r="P29" s="15">
        <f t="shared" si="54"/>
        <v>159671.43138866063</v>
      </c>
      <c r="Q29" s="15">
        <f t="shared" si="54"/>
        <v>149844.99918566775</v>
      </c>
      <c r="R29" s="15">
        <f t="shared" si="54"/>
        <v>163134.29632587859</v>
      </c>
      <c r="S29" s="15">
        <f t="shared" si="54"/>
        <v>159382.04502369667</v>
      </c>
      <c r="T29" s="15">
        <f t="shared" si="54"/>
        <v>161498.55529595012</v>
      </c>
      <c r="U29" s="15">
        <f t="shared" si="54"/>
        <v>164571.8880368098</v>
      </c>
      <c r="V29" s="15">
        <f t="shared" si="54"/>
        <v>162956.50899550226</v>
      </c>
      <c r="W29" s="15">
        <f t="shared" si="54"/>
        <v>168942.56764705881</v>
      </c>
      <c r="X29" s="15">
        <f t="shared" si="54"/>
        <v>176124.00729927004</v>
      </c>
      <c r="Y29" s="15">
        <f t="shared" si="54"/>
        <v>197253.69491525425</v>
      </c>
      <c r="Z29" s="15">
        <f t="shared" si="54"/>
        <v>201252.16534391535</v>
      </c>
      <c r="AA29" s="15">
        <f t="shared" si="54"/>
        <v>182418</v>
      </c>
    </row>
    <row r="30" spans="2:27" x14ac:dyDescent="0.25">
      <c r="B30" t="s">
        <v>179</v>
      </c>
      <c r="C30" s="15">
        <f t="shared" ref="C30:AA30" si="55">C13*($AA$17/C$17)</f>
        <v>117879.11410118405</v>
      </c>
      <c r="D30" s="15">
        <f t="shared" si="55"/>
        <v>112171.70545073375</v>
      </c>
      <c r="E30" s="15">
        <f t="shared" si="55"/>
        <v>107523.54498977505</v>
      </c>
      <c r="F30" s="15">
        <f t="shared" si="55"/>
        <v>109236.34299999999</v>
      </c>
      <c r="G30" s="15">
        <f t="shared" si="55"/>
        <v>108290.49708171205</v>
      </c>
      <c r="H30" s="15">
        <f t="shared" si="55"/>
        <v>109369.80897803247</v>
      </c>
      <c r="I30" s="15">
        <f t="shared" si="55"/>
        <v>119420.9598130841</v>
      </c>
      <c r="J30" s="15">
        <f t="shared" si="55"/>
        <v>115793.21173235564</v>
      </c>
      <c r="K30" s="15">
        <f t="shared" si="55"/>
        <v>118223.73811659192</v>
      </c>
      <c r="L30" s="15">
        <f t="shared" si="55"/>
        <v>116945.18492550396</v>
      </c>
      <c r="M30" s="15">
        <f t="shared" si="55"/>
        <v>112621.74912587412</v>
      </c>
      <c r="N30" s="15">
        <f t="shared" si="55"/>
        <v>112755.99656652361</v>
      </c>
      <c r="O30" s="15">
        <f t="shared" si="55"/>
        <v>114975.18765638031</v>
      </c>
      <c r="P30" s="15">
        <f t="shared" si="55"/>
        <v>118297.46179129006</v>
      </c>
      <c r="Q30" s="15">
        <f t="shared" si="55"/>
        <v>127862.51302931596</v>
      </c>
      <c r="R30" s="15">
        <f t="shared" si="55"/>
        <v>132271.42412140573</v>
      </c>
      <c r="S30" s="15">
        <f t="shared" si="55"/>
        <v>126450.60900473932</v>
      </c>
      <c r="T30" s="15">
        <f t="shared" si="55"/>
        <v>131507.62694704047</v>
      </c>
      <c r="U30" s="15">
        <f t="shared" si="55"/>
        <v>133314.52990797546</v>
      </c>
      <c r="V30" s="15">
        <f t="shared" si="55"/>
        <v>131892.16266866567</v>
      </c>
      <c r="W30" s="15">
        <f t="shared" si="55"/>
        <v>117874.6713235294</v>
      </c>
      <c r="X30" s="15">
        <f t="shared" si="55"/>
        <v>126738.41824817518</v>
      </c>
      <c r="Y30" s="15">
        <f t="shared" si="55"/>
        <v>131739.88841807912</v>
      </c>
      <c r="Z30" s="15">
        <f t="shared" si="55"/>
        <v>130801.33531746031</v>
      </c>
      <c r="AA30" s="15">
        <f t="shared" si="55"/>
        <v>128919</v>
      </c>
    </row>
    <row r="31" spans="2:27" x14ac:dyDescent="0.25">
      <c r="B31" t="s">
        <v>180</v>
      </c>
      <c r="C31" s="31">
        <f>C29-C30</f>
        <v>20945.53928955867</v>
      </c>
      <c r="D31" s="31">
        <f>D29-D30</f>
        <v>28986.102725366887</v>
      </c>
      <c r="E31" s="31">
        <f t="shared" ref="E31" si="56">E29-E30</f>
        <v>30703.572597137012</v>
      </c>
      <c r="F31" s="31">
        <f t="shared" ref="F31" si="57">F29-F30</f>
        <v>30515.103999999992</v>
      </c>
      <c r="G31" s="31">
        <f t="shared" ref="G31" si="58">G29-G30</f>
        <v>27634.623540856046</v>
      </c>
      <c r="H31" s="31">
        <f t="shared" ref="H31" si="59">H29-H30</f>
        <v>30584.234001910227</v>
      </c>
      <c r="I31" s="31">
        <f t="shared" ref="I31" si="60">I29-I30</f>
        <v>27417.620560747659</v>
      </c>
      <c r="J31" s="31">
        <f t="shared" ref="J31" si="61">J29-J30</f>
        <v>25963.978918423469</v>
      </c>
      <c r="K31" s="31">
        <f t="shared" ref="K31" si="62">K29-K30</f>
        <v>30359.046636771309</v>
      </c>
      <c r="L31" s="31">
        <f t="shared" ref="L31" si="63">L29-L30</f>
        <v>29825.593339176165</v>
      </c>
      <c r="M31" s="31">
        <f t="shared" ref="M31" si="64">M29-M30</f>
        <v>44501.596153846142</v>
      </c>
      <c r="N31" s="31">
        <f t="shared" ref="N31" si="65">N29-N30</f>
        <v>38607.493562231757</v>
      </c>
      <c r="O31" s="31">
        <f t="shared" ref="O31" si="66">O29-O30</f>
        <v>34592.135946622191</v>
      </c>
      <c r="P31" s="31">
        <f t="shared" ref="P31" si="67">P29-P30</f>
        <v>41373.969597370567</v>
      </c>
      <c r="Q31" s="31">
        <f t="shared" ref="Q31" si="68">Q29-Q30</f>
        <v>21982.486156351792</v>
      </c>
      <c r="R31" s="31">
        <f t="shared" ref="R31" si="69">R29-R30</f>
        <v>30862.872204472864</v>
      </c>
      <c r="S31" s="31">
        <f t="shared" ref="S31" si="70">S29-S30</f>
        <v>32931.436018957349</v>
      </c>
      <c r="T31" s="31">
        <f t="shared" ref="T31" si="71">T29-T30</f>
        <v>29990.928348909656</v>
      </c>
      <c r="U31" s="31">
        <f t="shared" ref="U31" si="72">U29-U30</f>
        <v>31257.358128834341</v>
      </c>
      <c r="V31" s="31">
        <f t="shared" ref="V31" si="73">V29-V30</f>
        <v>31064.346326836589</v>
      </c>
      <c r="W31" s="31">
        <f t="shared" ref="W31" si="74">W29-W30</f>
        <v>51067.896323529407</v>
      </c>
      <c r="X31" s="31">
        <f t="shared" ref="X31" si="75">X29-X30</f>
        <v>49385.589051094867</v>
      </c>
      <c r="Y31" s="31">
        <f t="shared" ref="Y31" si="76">Y29-Y30</f>
        <v>65513.80649717513</v>
      </c>
      <c r="Z31" s="31">
        <f t="shared" ref="Z31" si="77">Z29-Z30</f>
        <v>70450.830026455034</v>
      </c>
      <c r="AA31" s="31">
        <f t="shared" ref="AA31" si="78">AA29-AA30</f>
        <v>53499</v>
      </c>
    </row>
    <row r="32" spans="2:27" x14ac:dyDescent="0.25">
      <c r="B32" t="s">
        <v>183</v>
      </c>
      <c r="C32" s="19"/>
      <c r="D32" s="29">
        <f>D31/C31-1</f>
        <v>0.38387951365933226</v>
      </c>
      <c r="E32" s="29">
        <f t="shared" ref="E32" si="79">E31/D31-1</f>
        <v>5.9251493311900161E-2</v>
      </c>
      <c r="F32" s="29">
        <f t="shared" ref="F32" si="80">F31/E31-1</f>
        <v>-6.1383279271739477E-3</v>
      </c>
      <c r="G32" s="29">
        <f t="shared" ref="G32" si="81">G31/F31-1</f>
        <v>-9.4395236507925584E-2</v>
      </c>
      <c r="H32" s="29">
        <f t="shared" ref="H32" si="82">H31/G31-1</f>
        <v>0.10673604641993295</v>
      </c>
      <c r="I32" s="29">
        <f t="shared" ref="I32" si="83">I31/H31-1</f>
        <v>-0.10353744484706684</v>
      </c>
      <c r="J32" s="29">
        <f t="shared" ref="J32" si="84">J31/I31-1</f>
        <v>-5.3018519207508885E-2</v>
      </c>
      <c r="K32" s="29">
        <f t="shared" ref="K32" si="85">K31/J31-1</f>
        <v>0.16927558492312578</v>
      </c>
      <c r="L32" s="29">
        <f t="shared" ref="L32" si="86">L31/K31-1</f>
        <v>-1.757147725940178E-2</v>
      </c>
      <c r="M32" s="29">
        <f t="shared" ref="M32" si="87">M31/L31-1</f>
        <v>0.49206071603587942</v>
      </c>
      <c r="N32" s="29">
        <f t="shared" ref="N32" si="88">N31/M31-1</f>
        <v>-0.1324469929401616</v>
      </c>
      <c r="O32" s="29">
        <f t="shared" ref="O32" si="89">O31/N31-1</f>
        <v>-0.10400461788945647</v>
      </c>
      <c r="P32" s="29">
        <f t="shared" ref="P32" si="90">P31/O31-1</f>
        <v>0.19605131239115048</v>
      </c>
      <c r="Q32" s="29">
        <f t="shared" ref="Q32" si="91">Q31/P31-1</f>
        <v>-0.46868800914503406</v>
      </c>
      <c r="R32" s="29">
        <f t="shared" ref="R32" si="92">R31/Q31-1</f>
        <v>0.40397550963793538</v>
      </c>
      <c r="S32" s="29">
        <f t="shared" ref="S32" si="93">S31/R31-1</f>
        <v>6.7024345653244E-2</v>
      </c>
      <c r="T32" s="29">
        <f t="shared" ref="T32" si="94">T31/S31-1</f>
        <v>-8.929181431246902E-2</v>
      </c>
      <c r="U32" s="29">
        <f t="shared" ref="U32" si="95">U31/T31-1</f>
        <v>4.2227094979896629E-2</v>
      </c>
      <c r="V32" s="29">
        <f t="shared" ref="V32" si="96">V31/U31-1</f>
        <v>-6.17492371563233E-3</v>
      </c>
      <c r="W32" s="29">
        <f t="shared" ref="W32" si="97">W31/V31-1</f>
        <v>0.64393918952067852</v>
      </c>
      <c r="X32" s="29">
        <f t="shared" ref="X32" si="98">X31/W31-1</f>
        <v>-3.2942560660354059E-2</v>
      </c>
      <c r="Y32" s="29">
        <f t="shared" ref="Y32" si="99">Y31/X31-1</f>
        <v>0.32657740356997333</v>
      </c>
      <c r="Z32" s="29">
        <f t="shared" ref="Z32" si="100">Z31/Y31-1</f>
        <v>7.5358520489765546E-2</v>
      </c>
      <c r="AA32" s="29">
        <f t="shared" ref="AA32" si="101">AA31/Z31-1</f>
        <v>-0.24061930881565829</v>
      </c>
    </row>
    <row r="34" spans="2:27" x14ac:dyDescent="0.25">
      <c r="B34" t="s">
        <v>104</v>
      </c>
      <c r="C34" s="33">
        <f>C31-C25</f>
        <v>33195.618945102266</v>
      </c>
      <c r="D34" s="20">
        <f t="shared" ref="D34:AA34" si="102">D31-D25</f>
        <v>44554.482180293504</v>
      </c>
      <c r="E34" s="20">
        <f t="shared" si="102"/>
        <v>44383.159509202451</v>
      </c>
      <c r="F34" s="20">
        <f t="shared" si="102"/>
        <v>46723.11099999999</v>
      </c>
      <c r="G34" s="20">
        <f t="shared" si="102"/>
        <v>43848.932879377448</v>
      </c>
      <c r="H34" s="20">
        <f t="shared" si="102"/>
        <v>48097.808022922647</v>
      </c>
      <c r="I34" s="20">
        <f t="shared" si="102"/>
        <v>49024.009345794388</v>
      </c>
      <c r="J34" s="20">
        <f t="shared" si="102"/>
        <v>50986.221814848774</v>
      </c>
      <c r="K34" s="20">
        <f t="shared" si="102"/>
        <v>56516.548878923772</v>
      </c>
      <c r="L34" s="20">
        <f t="shared" si="102"/>
        <v>52324.901840490806</v>
      </c>
      <c r="M34" s="20">
        <f t="shared" si="102"/>
        <v>68418.148601398585</v>
      </c>
      <c r="N34" s="20">
        <f t="shared" si="102"/>
        <v>60542.159656652359</v>
      </c>
      <c r="O34" s="20">
        <f t="shared" si="102"/>
        <v>57194.095913261059</v>
      </c>
      <c r="P34" s="20">
        <f t="shared" si="102"/>
        <v>64329.674609695954</v>
      </c>
      <c r="Q34" s="20">
        <f t="shared" si="102"/>
        <v>48460.488599348537</v>
      </c>
      <c r="R34" s="20">
        <f t="shared" si="102"/>
        <v>59650.317891373823</v>
      </c>
      <c r="S34" s="20">
        <f t="shared" si="102"/>
        <v>57487.928120063196</v>
      </c>
      <c r="T34" s="20">
        <f t="shared" si="102"/>
        <v>57828.461059190027</v>
      </c>
      <c r="U34" s="20">
        <f t="shared" si="102"/>
        <v>60028.102760736183</v>
      </c>
      <c r="V34" s="20">
        <f t="shared" si="102"/>
        <v>60773.204647676168</v>
      </c>
      <c r="W34" s="20">
        <f t="shared" si="102"/>
        <v>87202.051470588238</v>
      </c>
      <c r="X34" s="20">
        <f t="shared" si="102"/>
        <v>68017.419708029163</v>
      </c>
      <c r="Y34" s="20">
        <f t="shared" si="102"/>
        <v>92983.007768361567</v>
      </c>
      <c r="Z34" s="20">
        <f t="shared" si="102"/>
        <v>99360.554894179892</v>
      </c>
      <c r="AA34" s="33">
        <f t="shared" si="102"/>
        <v>84116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EEF25-0652-47A9-9D8B-79DB1B9ED14F}">
  <dimension ref="B3:H17"/>
  <sheetViews>
    <sheetView showGridLines="0" tabSelected="1" workbookViewId="0"/>
  </sheetViews>
  <sheetFormatPr defaultRowHeight="15" x14ac:dyDescent="0.25"/>
  <cols>
    <col min="3" max="6" width="9" bestFit="1" customWidth="1"/>
    <col min="7" max="7" width="10.42578125" bestFit="1" customWidth="1"/>
    <col min="8" max="8" width="9" bestFit="1" customWidth="1"/>
  </cols>
  <sheetData>
    <row r="3" spans="2:8" x14ac:dyDescent="0.25">
      <c r="C3" s="51" t="s">
        <v>51</v>
      </c>
      <c r="D3" s="51"/>
      <c r="E3" s="51"/>
      <c r="F3" s="51"/>
      <c r="G3" s="51"/>
      <c r="H3" s="51"/>
    </row>
    <row r="4" spans="2:8" x14ac:dyDescent="0.25">
      <c r="B4" s="28" t="s">
        <v>364</v>
      </c>
      <c r="C4" s="51">
        <v>1</v>
      </c>
      <c r="D4" s="51">
        <v>2</v>
      </c>
      <c r="E4" s="51">
        <v>3</v>
      </c>
      <c r="F4" s="51">
        <v>4</v>
      </c>
      <c r="G4" s="51">
        <v>5</v>
      </c>
      <c r="H4" s="51" t="s">
        <v>97</v>
      </c>
    </row>
    <row r="5" spans="2:8" x14ac:dyDescent="0.25">
      <c r="B5" t="s">
        <v>253</v>
      </c>
      <c r="C5" s="52">
        <f>'Net Worth Over Time by Quintile'!BJ24</f>
        <v>-11976</v>
      </c>
      <c r="D5" s="52">
        <f>'Net Worth Over Time by Quintile'!DO24</f>
        <v>49882</v>
      </c>
      <c r="E5" s="52">
        <f>'Net Worth Over Time by Quintile'!FT24</f>
        <v>219359</v>
      </c>
      <c r="F5" s="52">
        <f>'Net Worth Over Time by Quintile'!HY24</f>
        <v>530601</v>
      </c>
      <c r="G5" s="52">
        <f>'Net Worth Over Time by Quintile'!KD24</f>
        <v>1748713</v>
      </c>
      <c r="H5" s="52">
        <f>'Net Worth Over Time by Quintile'!E24</f>
        <v>507316</v>
      </c>
    </row>
    <row r="6" spans="2:8" x14ac:dyDescent="0.25">
      <c r="B6" t="s">
        <v>305</v>
      </c>
      <c r="C6" s="52">
        <f>'Net Worth Over Time by Quintile'!DJ24</f>
        <v>-1141</v>
      </c>
      <c r="D6" s="52">
        <f>'Net Worth Over Time by Quintile'!FO24</f>
        <v>135497</v>
      </c>
      <c r="E6" s="52">
        <f>'Net Worth Over Time by Quintile'!HT24</f>
        <v>454074</v>
      </c>
      <c r="F6" s="52">
        <f>'Net Worth Over Time by Quintile'!JY24</f>
        <v>996641</v>
      </c>
      <c r="G6" s="52">
        <f>'Net Worth Over Time by Quintile'!MD24</f>
        <v>3311107</v>
      </c>
      <c r="H6" s="52">
        <f>'Net Worth Over Time by Quintile'!BE24</f>
        <v>979236</v>
      </c>
    </row>
    <row r="7" spans="2:8" x14ac:dyDescent="0.25">
      <c r="C7" s="51"/>
      <c r="D7" s="51"/>
      <c r="E7" s="51"/>
      <c r="F7" s="51"/>
      <c r="G7" s="51"/>
      <c r="H7" s="51"/>
    </row>
    <row r="8" spans="2:8" x14ac:dyDescent="0.25">
      <c r="B8" t="s">
        <v>186</v>
      </c>
      <c r="C8" s="51"/>
      <c r="D8" s="51"/>
      <c r="E8" s="51"/>
      <c r="F8" s="51"/>
      <c r="G8" s="51"/>
      <c r="H8" s="51"/>
    </row>
    <row r="9" spans="2:8" x14ac:dyDescent="0.25">
      <c r="B9" t="s">
        <v>253</v>
      </c>
      <c r="C9" s="51"/>
      <c r="D9" s="51"/>
      <c r="E9" s="51"/>
      <c r="F9" s="51"/>
      <c r="G9" s="51"/>
      <c r="H9" s="53">
        <f>CPI!M12</f>
        <v>116.5</v>
      </c>
    </row>
    <row r="10" spans="2:8" x14ac:dyDescent="0.25">
      <c r="B10" t="s">
        <v>305</v>
      </c>
      <c r="C10" s="51"/>
      <c r="D10" s="51"/>
      <c r="E10" s="51"/>
      <c r="F10" s="51"/>
      <c r="G10" s="51"/>
      <c r="H10" s="53">
        <f>CPI!Z12</f>
        <v>157.1</v>
      </c>
    </row>
    <row r="11" spans="2:8" x14ac:dyDescent="0.25">
      <c r="C11" s="51"/>
      <c r="D11" s="51"/>
      <c r="E11" s="51"/>
      <c r="F11" s="51"/>
      <c r="G11" s="51"/>
      <c r="H11" s="51"/>
    </row>
    <row r="12" spans="2:8" x14ac:dyDescent="0.25">
      <c r="C12" s="51" t="s">
        <v>51</v>
      </c>
      <c r="D12" s="51"/>
      <c r="E12" s="51"/>
      <c r="F12" s="51"/>
      <c r="G12" s="51"/>
      <c r="H12" s="51"/>
    </row>
    <row r="13" spans="2:8" x14ac:dyDescent="0.25">
      <c r="B13" s="28" t="s">
        <v>365</v>
      </c>
      <c r="C13" s="51" t="s">
        <v>357</v>
      </c>
      <c r="D13" s="51" t="s">
        <v>358</v>
      </c>
      <c r="E13" s="51" t="s">
        <v>359</v>
      </c>
      <c r="F13" s="51" t="s">
        <v>360</v>
      </c>
      <c r="G13" s="51" t="s">
        <v>361</v>
      </c>
      <c r="H13" s="51" t="s">
        <v>368</v>
      </c>
    </row>
    <row r="14" spans="2:8" x14ac:dyDescent="0.25">
      <c r="B14" t="s">
        <v>253</v>
      </c>
      <c r="C14" s="54">
        <f t="shared" ref="C14:H14" si="0">C5*$H$10/$H$9</f>
        <v>-16149.610300429184</v>
      </c>
      <c r="D14" s="54">
        <f t="shared" si="0"/>
        <v>67265.769957081546</v>
      </c>
      <c r="E14" s="54">
        <f t="shared" si="0"/>
        <v>295805.14077253215</v>
      </c>
      <c r="F14" s="54">
        <f t="shared" si="0"/>
        <v>715514.30987124459</v>
      </c>
      <c r="G14" s="54">
        <f t="shared" si="0"/>
        <v>2358135.7278969958</v>
      </c>
      <c r="H14" s="54">
        <f t="shared" si="0"/>
        <v>684114.53733905579</v>
      </c>
    </row>
    <row r="15" spans="2:8" x14ac:dyDescent="0.25">
      <c r="B15" t="s">
        <v>305</v>
      </c>
      <c r="C15" s="54">
        <f>C6</f>
        <v>-1141</v>
      </c>
      <c r="D15" s="54">
        <f t="shared" ref="D15:H15" si="1">D6</f>
        <v>135497</v>
      </c>
      <c r="E15" s="54">
        <f t="shared" si="1"/>
        <v>454074</v>
      </c>
      <c r="F15" s="54">
        <f t="shared" si="1"/>
        <v>996641</v>
      </c>
      <c r="G15" s="54">
        <f t="shared" si="1"/>
        <v>3311107</v>
      </c>
      <c r="H15" s="54">
        <f t="shared" si="1"/>
        <v>979236</v>
      </c>
    </row>
    <row r="16" spans="2:8" x14ac:dyDescent="0.25">
      <c r="B16" t="s">
        <v>366</v>
      </c>
      <c r="C16" s="54">
        <f>C15-C14</f>
        <v>15008.610300429184</v>
      </c>
      <c r="D16" s="54">
        <f t="shared" ref="D16:H16" si="2">D15-D14</f>
        <v>68231.230042918454</v>
      </c>
      <c r="E16" s="54">
        <f t="shared" si="2"/>
        <v>158268.85922746785</v>
      </c>
      <c r="F16" s="54">
        <f t="shared" si="2"/>
        <v>281126.69012875541</v>
      </c>
      <c r="G16" s="54">
        <f t="shared" si="2"/>
        <v>952971.27210300416</v>
      </c>
      <c r="H16" s="54">
        <f t="shared" si="2"/>
        <v>295121.46266094421</v>
      </c>
    </row>
    <row r="17" spans="2:8" x14ac:dyDescent="0.25">
      <c r="B17" t="s">
        <v>367</v>
      </c>
      <c r="C17" s="55">
        <f>C16/C14</f>
        <v>-0.92934814037155578</v>
      </c>
      <c r="D17" s="55">
        <f t="shared" ref="D17:H17" si="3">D16/D14</f>
        <v>1.0143529180808146</v>
      </c>
      <c r="E17" s="55">
        <f t="shared" si="3"/>
        <v>0.53504431604578917</v>
      </c>
      <c r="F17" s="55">
        <f t="shared" si="3"/>
        <v>0.3929015622054346</v>
      </c>
      <c r="G17" s="55">
        <f t="shared" si="3"/>
        <v>0.40412061987325537</v>
      </c>
      <c r="H17" s="55">
        <f t="shared" si="3"/>
        <v>0.43139188915478094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E43"/>
  <sheetViews>
    <sheetView workbookViewId="0"/>
  </sheetViews>
  <sheetFormatPr defaultRowHeight="15" outlineLevelCol="1" x14ac:dyDescent="0.25"/>
  <cols>
    <col min="2" max="4" width="9" customWidth="1" outlineLevel="1"/>
    <col min="6" max="56" width="0" hidden="1" customWidth="1" outlineLevel="1"/>
    <col min="57" max="57" width="9" collapsed="1"/>
    <col min="59" max="61" width="9" customWidth="1" outlineLevel="1"/>
    <col min="63" max="113" width="0" hidden="1" customWidth="1" outlineLevel="1"/>
    <col min="114" max="114" width="9" collapsed="1"/>
    <col min="116" max="118" width="9" customWidth="1" outlineLevel="1"/>
    <col min="120" max="170" width="0" hidden="1" customWidth="1" outlineLevel="1"/>
    <col min="171" max="171" width="9" collapsed="1"/>
    <col min="173" max="175" width="9" customWidth="1" outlineLevel="1"/>
    <col min="177" max="227" width="0" hidden="1" customWidth="1" outlineLevel="1"/>
    <col min="228" max="228" width="9" collapsed="1"/>
    <col min="230" max="232" width="9" customWidth="1" outlineLevel="1"/>
    <col min="234" max="284" width="0" hidden="1" customWidth="1" outlineLevel="1"/>
    <col min="285" max="285" width="9" collapsed="1"/>
    <col min="287" max="289" width="9" customWidth="1" outlineLevel="1"/>
    <col min="291" max="341" width="0" hidden="1" customWidth="1" outlineLevel="1"/>
    <col min="342" max="342" width="9" collapsed="1"/>
  </cols>
  <sheetData>
    <row r="1" spans="1:343" x14ac:dyDescent="0.25">
      <c r="A1" t="s">
        <v>329</v>
      </c>
    </row>
    <row r="2" spans="1:343" x14ac:dyDescent="0.25">
      <c r="A2" t="s">
        <v>202</v>
      </c>
    </row>
    <row r="3" spans="1:343" x14ac:dyDescent="0.25">
      <c r="A3" t="s">
        <v>330</v>
      </c>
    </row>
    <row r="4" spans="1:343" x14ac:dyDescent="0.25">
      <c r="A4" t="s">
        <v>3</v>
      </c>
    </row>
    <row r="5" spans="1:343" x14ac:dyDescent="0.25">
      <c r="A5" t="s">
        <v>4</v>
      </c>
    </row>
    <row r="6" spans="1:343" x14ac:dyDescent="0.25">
      <c r="A6" s="2" t="s">
        <v>356</v>
      </c>
    </row>
    <row r="9" spans="1:343" x14ac:dyDescent="0.25">
      <c r="A9" t="s">
        <v>5</v>
      </c>
      <c r="B9" t="s">
        <v>6</v>
      </c>
    </row>
    <row r="10" spans="1:343" x14ac:dyDescent="0.25">
      <c r="A10" t="s">
        <v>7</v>
      </c>
      <c r="B10" t="s">
        <v>117</v>
      </c>
    </row>
    <row r="11" spans="1:343" x14ac:dyDescent="0.25">
      <c r="A11" t="s">
        <v>9</v>
      </c>
      <c r="B11" t="s">
        <v>10</v>
      </c>
      <c r="BG11" t="s">
        <v>331</v>
      </c>
      <c r="DL11" t="s">
        <v>332</v>
      </c>
      <c r="FQ11" t="s">
        <v>333</v>
      </c>
      <c r="HV11" t="s">
        <v>334</v>
      </c>
      <c r="KA11" t="s">
        <v>335</v>
      </c>
    </row>
    <row r="12" spans="1:343" x14ac:dyDescent="0.25">
      <c r="A12" t="s">
        <v>336</v>
      </c>
      <c r="B12" t="s">
        <v>250</v>
      </c>
      <c r="C12" t="s">
        <v>251</v>
      </c>
      <c r="D12" t="s">
        <v>252</v>
      </c>
      <c r="E12" t="s">
        <v>253</v>
      </c>
      <c r="F12" t="s">
        <v>254</v>
      </c>
      <c r="G12" t="s">
        <v>255</v>
      </c>
      <c r="H12" t="s">
        <v>256</v>
      </c>
      <c r="I12" t="s">
        <v>257</v>
      </c>
      <c r="J12" t="s">
        <v>258</v>
      </c>
      <c r="K12" t="s">
        <v>259</v>
      </c>
      <c r="L12" t="s">
        <v>260</v>
      </c>
      <c r="M12" t="s">
        <v>261</v>
      </c>
      <c r="N12" t="s">
        <v>262</v>
      </c>
      <c r="O12" t="s">
        <v>263</v>
      </c>
      <c r="P12" t="s">
        <v>264</v>
      </c>
      <c r="Q12" t="s">
        <v>265</v>
      </c>
      <c r="R12" t="s">
        <v>266</v>
      </c>
      <c r="S12" t="s">
        <v>267</v>
      </c>
      <c r="T12" t="s">
        <v>268</v>
      </c>
      <c r="U12" t="s">
        <v>269</v>
      </c>
      <c r="V12" t="s">
        <v>270</v>
      </c>
      <c r="W12" t="s">
        <v>271</v>
      </c>
      <c r="X12" t="s">
        <v>272</v>
      </c>
      <c r="Y12" t="s">
        <v>273</v>
      </c>
      <c r="Z12" t="s">
        <v>274</v>
      </c>
      <c r="AA12" t="s">
        <v>275</v>
      </c>
      <c r="AB12" t="s">
        <v>276</v>
      </c>
      <c r="AC12" t="s">
        <v>277</v>
      </c>
      <c r="AD12" t="s">
        <v>278</v>
      </c>
      <c r="AE12" t="s">
        <v>279</v>
      </c>
      <c r="AF12" t="s">
        <v>280</v>
      </c>
      <c r="AG12" t="s">
        <v>281</v>
      </c>
      <c r="AH12" t="s">
        <v>282</v>
      </c>
      <c r="AI12" t="s">
        <v>283</v>
      </c>
      <c r="AJ12" t="s">
        <v>284</v>
      </c>
      <c r="AK12" t="s">
        <v>285</v>
      </c>
      <c r="AL12" t="s">
        <v>286</v>
      </c>
      <c r="AM12" t="s">
        <v>287</v>
      </c>
      <c r="AN12" t="s">
        <v>288</v>
      </c>
      <c r="AO12" t="s">
        <v>289</v>
      </c>
      <c r="AP12" t="s">
        <v>290</v>
      </c>
      <c r="AQ12" t="s">
        <v>291</v>
      </c>
      <c r="AR12" t="s">
        <v>292</v>
      </c>
      <c r="AS12" t="s">
        <v>293</v>
      </c>
      <c r="AT12" t="s">
        <v>294</v>
      </c>
      <c r="AU12" t="s">
        <v>295</v>
      </c>
      <c r="AV12" t="s">
        <v>296</v>
      </c>
      <c r="AW12" t="s">
        <v>297</v>
      </c>
      <c r="AX12" t="s">
        <v>298</v>
      </c>
      <c r="AY12" t="s">
        <v>299</v>
      </c>
      <c r="AZ12" t="s">
        <v>300</v>
      </c>
      <c r="BA12" t="s">
        <v>301</v>
      </c>
      <c r="BB12" t="s">
        <v>302</v>
      </c>
      <c r="BC12" t="s">
        <v>303</v>
      </c>
      <c r="BD12" t="s">
        <v>304</v>
      </c>
      <c r="BE12" t="s">
        <v>305</v>
      </c>
      <c r="BF12" t="s">
        <v>306</v>
      </c>
      <c r="BG12" t="s">
        <v>250</v>
      </c>
      <c r="BH12" t="s">
        <v>251</v>
      </c>
      <c r="BI12" t="s">
        <v>252</v>
      </c>
      <c r="BJ12" t="s">
        <v>253</v>
      </c>
      <c r="BK12" t="s">
        <v>254</v>
      </c>
      <c r="BL12" t="s">
        <v>255</v>
      </c>
      <c r="BM12" t="s">
        <v>256</v>
      </c>
      <c r="BN12" t="s">
        <v>257</v>
      </c>
      <c r="BO12" t="s">
        <v>258</v>
      </c>
      <c r="BP12" t="s">
        <v>259</v>
      </c>
      <c r="BQ12" t="s">
        <v>260</v>
      </c>
      <c r="BR12" t="s">
        <v>261</v>
      </c>
      <c r="BS12" t="s">
        <v>262</v>
      </c>
      <c r="BT12" t="s">
        <v>263</v>
      </c>
      <c r="BU12" t="s">
        <v>264</v>
      </c>
      <c r="BV12" t="s">
        <v>265</v>
      </c>
      <c r="BW12" t="s">
        <v>266</v>
      </c>
      <c r="BX12" t="s">
        <v>267</v>
      </c>
      <c r="BY12" t="s">
        <v>268</v>
      </c>
      <c r="BZ12" t="s">
        <v>269</v>
      </c>
      <c r="CA12" t="s">
        <v>270</v>
      </c>
      <c r="CB12" t="s">
        <v>271</v>
      </c>
      <c r="CC12" t="s">
        <v>272</v>
      </c>
      <c r="CD12" t="s">
        <v>273</v>
      </c>
      <c r="CE12" t="s">
        <v>274</v>
      </c>
      <c r="CF12" t="s">
        <v>275</v>
      </c>
      <c r="CG12" t="s">
        <v>276</v>
      </c>
      <c r="CH12" t="s">
        <v>277</v>
      </c>
      <c r="CI12" t="s">
        <v>278</v>
      </c>
      <c r="CJ12" t="s">
        <v>279</v>
      </c>
      <c r="CK12" t="s">
        <v>280</v>
      </c>
      <c r="CL12" t="s">
        <v>281</v>
      </c>
      <c r="CM12" t="s">
        <v>282</v>
      </c>
      <c r="CN12" t="s">
        <v>283</v>
      </c>
      <c r="CO12" t="s">
        <v>284</v>
      </c>
      <c r="CP12" t="s">
        <v>285</v>
      </c>
      <c r="CQ12" t="s">
        <v>286</v>
      </c>
      <c r="CR12" t="s">
        <v>287</v>
      </c>
      <c r="CS12" t="s">
        <v>288</v>
      </c>
      <c r="CT12" t="s">
        <v>289</v>
      </c>
      <c r="CU12" t="s">
        <v>290</v>
      </c>
      <c r="CV12" t="s">
        <v>291</v>
      </c>
      <c r="CW12" t="s">
        <v>292</v>
      </c>
      <c r="CX12" t="s">
        <v>293</v>
      </c>
      <c r="CY12" t="s">
        <v>294</v>
      </c>
      <c r="CZ12" t="s">
        <v>295</v>
      </c>
      <c r="DA12" t="s">
        <v>296</v>
      </c>
      <c r="DB12" t="s">
        <v>297</v>
      </c>
      <c r="DC12" t="s">
        <v>298</v>
      </c>
      <c r="DD12" t="s">
        <v>299</v>
      </c>
      <c r="DE12" t="s">
        <v>300</v>
      </c>
      <c r="DF12" t="s">
        <v>301</v>
      </c>
      <c r="DG12" t="s">
        <v>302</v>
      </c>
      <c r="DH12" t="s">
        <v>303</v>
      </c>
      <c r="DI12" t="s">
        <v>304</v>
      </c>
      <c r="DJ12" t="s">
        <v>305</v>
      </c>
      <c r="DK12" t="s">
        <v>306</v>
      </c>
      <c r="DL12" t="s">
        <v>250</v>
      </c>
      <c r="DM12" t="s">
        <v>251</v>
      </c>
      <c r="DN12" t="s">
        <v>252</v>
      </c>
      <c r="DO12" t="s">
        <v>253</v>
      </c>
      <c r="DP12" t="s">
        <v>254</v>
      </c>
      <c r="DQ12" t="s">
        <v>255</v>
      </c>
      <c r="DR12" t="s">
        <v>256</v>
      </c>
      <c r="DS12" t="s">
        <v>257</v>
      </c>
      <c r="DT12" t="s">
        <v>258</v>
      </c>
      <c r="DU12" t="s">
        <v>259</v>
      </c>
      <c r="DV12" t="s">
        <v>260</v>
      </c>
      <c r="DW12" t="s">
        <v>261</v>
      </c>
      <c r="DX12" t="s">
        <v>262</v>
      </c>
      <c r="DY12" t="s">
        <v>263</v>
      </c>
      <c r="DZ12" t="s">
        <v>264</v>
      </c>
      <c r="EA12" t="s">
        <v>265</v>
      </c>
      <c r="EB12" t="s">
        <v>266</v>
      </c>
      <c r="EC12" t="s">
        <v>267</v>
      </c>
      <c r="ED12" t="s">
        <v>268</v>
      </c>
      <c r="EE12" t="s">
        <v>269</v>
      </c>
      <c r="EF12" t="s">
        <v>270</v>
      </c>
      <c r="EG12" t="s">
        <v>271</v>
      </c>
      <c r="EH12" t="s">
        <v>272</v>
      </c>
      <c r="EI12" t="s">
        <v>273</v>
      </c>
      <c r="EJ12" t="s">
        <v>274</v>
      </c>
      <c r="EK12" t="s">
        <v>275</v>
      </c>
      <c r="EL12" t="s">
        <v>276</v>
      </c>
      <c r="EM12" t="s">
        <v>277</v>
      </c>
      <c r="EN12" t="s">
        <v>278</v>
      </c>
      <c r="EO12" t="s">
        <v>279</v>
      </c>
      <c r="EP12" t="s">
        <v>280</v>
      </c>
      <c r="EQ12" t="s">
        <v>281</v>
      </c>
      <c r="ER12" t="s">
        <v>282</v>
      </c>
      <c r="ES12" t="s">
        <v>283</v>
      </c>
      <c r="ET12" t="s">
        <v>284</v>
      </c>
      <c r="EU12" t="s">
        <v>285</v>
      </c>
      <c r="EV12" t="s">
        <v>286</v>
      </c>
      <c r="EW12" t="s">
        <v>287</v>
      </c>
      <c r="EX12" t="s">
        <v>288</v>
      </c>
      <c r="EY12" t="s">
        <v>289</v>
      </c>
      <c r="EZ12" t="s">
        <v>290</v>
      </c>
      <c r="FA12" t="s">
        <v>291</v>
      </c>
      <c r="FB12" t="s">
        <v>292</v>
      </c>
      <c r="FC12" t="s">
        <v>293</v>
      </c>
      <c r="FD12" t="s">
        <v>294</v>
      </c>
      <c r="FE12" t="s">
        <v>295</v>
      </c>
      <c r="FF12" t="s">
        <v>296</v>
      </c>
      <c r="FG12" t="s">
        <v>297</v>
      </c>
      <c r="FH12" t="s">
        <v>298</v>
      </c>
      <c r="FI12" t="s">
        <v>299</v>
      </c>
      <c r="FJ12" t="s">
        <v>300</v>
      </c>
      <c r="FK12" t="s">
        <v>301</v>
      </c>
      <c r="FL12" t="s">
        <v>302</v>
      </c>
      <c r="FM12" t="s">
        <v>303</v>
      </c>
      <c r="FN12" t="s">
        <v>304</v>
      </c>
      <c r="FO12" t="s">
        <v>305</v>
      </c>
      <c r="FP12" t="s">
        <v>306</v>
      </c>
      <c r="FQ12" t="s">
        <v>250</v>
      </c>
      <c r="FR12" t="s">
        <v>251</v>
      </c>
      <c r="FS12" t="s">
        <v>252</v>
      </c>
      <c r="FT12" t="s">
        <v>253</v>
      </c>
      <c r="FU12" t="s">
        <v>254</v>
      </c>
      <c r="FV12" t="s">
        <v>255</v>
      </c>
      <c r="FW12" t="s">
        <v>256</v>
      </c>
      <c r="FX12" t="s">
        <v>257</v>
      </c>
      <c r="FY12" t="s">
        <v>258</v>
      </c>
      <c r="FZ12" t="s">
        <v>259</v>
      </c>
      <c r="GA12" t="s">
        <v>260</v>
      </c>
      <c r="GB12" t="s">
        <v>261</v>
      </c>
      <c r="GC12" t="s">
        <v>262</v>
      </c>
      <c r="GD12" t="s">
        <v>263</v>
      </c>
      <c r="GE12" t="s">
        <v>264</v>
      </c>
      <c r="GF12" t="s">
        <v>265</v>
      </c>
      <c r="GG12" t="s">
        <v>266</v>
      </c>
      <c r="GH12" t="s">
        <v>267</v>
      </c>
      <c r="GI12" t="s">
        <v>268</v>
      </c>
      <c r="GJ12" t="s">
        <v>269</v>
      </c>
      <c r="GK12" t="s">
        <v>270</v>
      </c>
      <c r="GL12" t="s">
        <v>271</v>
      </c>
      <c r="GM12" t="s">
        <v>272</v>
      </c>
      <c r="GN12" t="s">
        <v>273</v>
      </c>
      <c r="GO12" t="s">
        <v>274</v>
      </c>
      <c r="GP12" t="s">
        <v>275</v>
      </c>
      <c r="GQ12" t="s">
        <v>276</v>
      </c>
      <c r="GR12" t="s">
        <v>277</v>
      </c>
      <c r="GS12" t="s">
        <v>278</v>
      </c>
      <c r="GT12" t="s">
        <v>279</v>
      </c>
      <c r="GU12" t="s">
        <v>280</v>
      </c>
      <c r="GV12" t="s">
        <v>281</v>
      </c>
      <c r="GW12" t="s">
        <v>282</v>
      </c>
      <c r="GX12" t="s">
        <v>283</v>
      </c>
      <c r="GY12" t="s">
        <v>284</v>
      </c>
      <c r="GZ12" t="s">
        <v>285</v>
      </c>
      <c r="HA12" t="s">
        <v>286</v>
      </c>
      <c r="HB12" t="s">
        <v>287</v>
      </c>
      <c r="HC12" t="s">
        <v>288</v>
      </c>
      <c r="HD12" t="s">
        <v>289</v>
      </c>
      <c r="HE12" t="s">
        <v>290</v>
      </c>
      <c r="HF12" t="s">
        <v>291</v>
      </c>
      <c r="HG12" t="s">
        <v>292</v>
      </c>
      <c r="HH12" t="s">
        <v>293</v>
      </c>
      <c r="HI12" t="s">
        <v>294</v>
      </c>
      <c r="HJ12" t="s">
        <v>295</v>
      </c>
      <c r="HK12" t="s">
        <v>296</v>
      </c>
      <c r="HL12" t="s">
        <v>297</v>
      </c>
      <c r="HM12" t="s">
        <v>298</v>
      </c>
      <c r="HN12" t="s">
        <v>299</v>
      </c>
      <c r="HO12" t="s">
        <v>300</v>
      </c>
      <c r="HP12" t="s">
        <v>301</v>
      </c>
      <c r="HQ12" t="s">
        <v>302</v>
      </c>
      <c r="HR12" t="s">
        <v>303</v>
      </c>
      <c r="HS12" t="s">
        <v>304</v>
      </c>
      <c r="HT12" t="s">
        <v>305</v>
      </c>
      <c r="HU12" t="s">
        <v>306</v>
      </c>
      <c r="HV12" t="s">
        <v>250</v>
      </c>
      <c r="HW12" t="s">
        <v>251</v>
      </c>
      <c r="HX12" t="s">
        <v>252</v>
      </c>
      <c r="HY12" t="s">
        <v>253</v>
      </c>
      <c r="HZ12" t="s">
        <v>254</v>
      </c>
      <c r="IA12" t="s">
        <v>255</v>
      </c>
      <c r="IB12" t="s">
        <v>256</v>
      </c>
      <c r="IC12" t="s">
        <v>257</v>
      </c>
      <c r="ID12" t="s">
        <v>258</v>
      </c>
      <c r="IE12" t="s">
        <v>259</v>
      </c>
      <c r="IF12" t="s">
        <v>260</v>
      </c>
      <c r="IG12" t="s">
        <v>261</v>
      </c>
      <c r="IH12" t="s">
        <v>262</v>
      </c>
      <c r="II12" t="s">
        <v>263</v>
      </c>
      <c r="IJ12" t="s">
        <v>264</v>
      </c>
      <c r="IK12" t="s">
        <v>265</v>
      </c>
      <c r="IL12" t="s">
        <v>266</v>
      </c>
      <c r="IM12" t="s">
        <v>267</v>
      </c>
      <c r="IN12" t="s">
        <v>268</v>
      </c>
      <c r="IO12" t="s">
        <v>269</v>
      </c>
      <c r="IP12" t="s">
        <v>270</v>
      </c>
      <c r="IQ12" t="s">
        <v>271</v>
      </c>
      <c r="IR12" t="s">
        <v>272</v>
      </c>
      <c r="IS12" t="s">
        <v>273</v>
      </c>
      <c r="IT12" t="s">
        <v>274</v>
      </c>
      <c r="IU12" t="s">
        <v>275</v>
      </c>
      <c r="IV12" t="s">
        <v>276</v>
      </c>
      <c r="IW12" t="s">
        <v>277</v>
      </c>
      <c r="IX12" t="s">
        <v>278</v>
      </c>
      <c r="IY12" t="s">
        <v>279</v>
      </c>
      <c r="IZ12" t="s">
        <v>280</v>
      </c>
      <c r="JA12" t="s">
        <v>281</v>
      </c>
      <c r="JB12" t="s">
        <v>282</v>
      </c>
      <c r="JC12" t="s">
        <v>283</v>
      </c>
      <c r="JD12" t="s">
        <v>284</v>
      </c>
      <c r="JE12" t="s">
        <v>285</v>
      </c>
      <c r="JF12" t="s">
        <v>286</v>
      </c>
      <c r="JG12" t="s">
        <v>287</v>
      </c>
      <c r="JH12" t="s">
        <v>288</v>
      </c>
      <c r="JI12" t="s">
        <v>289</v>
      </c>
      <c r="JJ12" t="s">
        <v>290</v>
      </c>
      <c r="JK12" t="s">
        <v>291</v>
      </c>
      <c r="JL12" t="s">
        <v>292</v>
      </c>
      <c r="JM12" t="s">
        <v>293</v>
      </c>
      <c r="JN12" t="s">
        <v>294</v>
      </c>
      <c r="JO12" t="s">
        <v>295</v>
      </c>
      <c r="JP12" t="s">
        <v>296</v>
      </c>
      <c r="JQ12" t="s">
        <v>297</v>
      </c>
      <c r="JR12" t="s">
        <v>298</v>
      </c>
      <c r="JS12" t="s">
        <v>299</v>
      </c>
      <c r="JT12" t="s">
        <v>300</v>
      </c>
      <c r="JU12" t="s">
        <v>301</v>
      </c>
      <c r="JV12" t="s">
        <v>302</v>
      </c>
      <c r="JW12" t="s">
        <v>303</v>
      </c>
      <c r="JX12" t="s">
        <v>304</v>
      </c>
      <c r="JY12" t="s">
        <v>305</v>
      </c>
      <c r="JZ12" t="s">
        <v>306</v>
      </c>
      <c r="KA12" t="s">
        <v>250</v>
      </c>
      <c r="KB12" t="s">
        <v>251</v>
      </c>
      <c r="KC12" t="s">
        <v>252</v>
      </c>
      <c r="KD12" t="s">
        <v>253</v>
      </c>
      <c r="KE12" t="s">
        <v>254</v>
      </c>
      <c r="KF12" t="s">
        <v>255</v>
      </c>
      <c r="KG12" t="s">
        <v>256</v>
      </c>
      <c r="KH12" t="s">
        <v>257</v>
      </c>
      <c r="KI12" t="s">
        <v>258</v>
      </c>
      <c r="KJ12" t="s">
        <v>259</v>
      </c>
      <c r="KK12" t="s">
        <v>260</v>
      </c>
      <c r="KL12" t="s">
        <v>261</v>
      </c>
      <c r="KM12" t="s">
        <v>262</v>
      </c>
      <c r="KN12" t="s">
        <v>263</v>
      </c>
      <c r="KO12" t="s">
        <v>264</v>
      </c>
      <c r="KP12" t="s">
        <v>265</v>
      </c>
      <c r="KQ12" t="s">
        <v>266</v>
      </c>
      <c r="KR12" t="s">
        <v>267</v>
      </c>
      <c r="KS12" t="s">
        <v>268</v>
      </c>
      <c r="KT12" t="s">
        <v>269</v>
      </c>
      <c r="KU12" t="s">
        <v>270</v>
      </c>
      <c r="KV12" t="s">
        <v>271</v>
      </c>
      <c r="KW12" t="s">
        <v>272</v>
      </c>
      <c r="KX12" t="s">
        <v>273</v>
      </c>
      <c r="KY12" t="s">
        <v>274</v>
      </c>
      <c r="KZ12" t="s">
        <v>275</v>
      </c>
      <c r="LA12" t="s">
        <v>276</v>
      </c>
      <c r="LB12" t="s">
        <v>277</v>
      </c>
      <c r="LC12" t="s">
        <v>278</v>
      </c>
      <c r="LD12" t="s">
        <v>279</v>
      </c>
      <c r="LE12" t="s">
        <v>280</v>
      </c>
      <c r="LF12" t="s">
        <v>281</v>
      </c>
      <c r="LG12" t="s">
        <v>282</v>
      </c>
      <c r="LH12" t="s">
        <v>283</v>
      </c>
      <c r="LI12" t="s">
        <v>284</v>
      </c>
      <c r="LJ12" t="s">
        <v>285</v>
      </c>
      <c r="LK12" t="s">
        <v>286</v>
      </c>
      <c r="LL12" t="s">
        <v>287</v>
      </c>
      <c r="LM12" t="s">
        <v>288</v>
      </c>
      <c r="LN12" t="s">
        <v>289</v>
      </c>
      <c r="LO12" t="s">
        <v>290</v>
      </c>
      <c r="LP12" t="s">
        <v>291</v>
      </c>
      <c r="LQ12" t="s">
        <v>292</v>
      </c>
      <c r="LR12" t="s">
        <v>293</v>
      </c>
      <c r="LS12" t="s">
        <v>294</v>
      </c>
      <c r="LT12" t="s">
        <v>295</v>
      </c>
      <c r="LU12" t="s">
        <v>296</v>
      </c>
      <c r="LV12" t="s">
        <v>297</v>
      </c>
      <c r="LW12" t="s">
        <v>298</v>
      </c>
      <c r="LX12" t="s">
        <v>299</v>
      </c>
      <c r="LY12" t="s">
        <v>300</v>
      </c>
      <c r="LZ12" t="s">
        <v>301</v>
      </c>
      <c r="MA12" t="s">
        <v>302</v>
      </c>
      <c r="MB12" t="s">
        <v>303</v>
      </c>
      <c r="MC12" t="s">
        <v>304</v>
      </c>
      <c r="MD12" t="s">
        <v>305</v>
      </c>
      <c r="ME12" t="s">
        <v>306</v>
      </c>
    </row>
    <row r="13" spans="1:343" x14ac:dyDescent="0.25">
      <c r="B13" t="s">
        <v>17</v>
      </c>
    </row>
    <row r="14" spans="1:343" x14ac:dyDescent="0.25">
      <c r="A14" t="s">
        <v>337</v>
      </c>
      <c r="B14" t="s">
        <v>92</v>
      </c>
      <c r="C14" t="s">
        <v>92</v>
      </c>
      <c r="D14" t="s">
        <v>92</v>
      </c>
      <c r="E14" s="1">
        <v>622328</v>
      </c>
      <c r="F14" t="s">
        <v>92</v>
      </c>
      <c r="G14" t="s">
        <v>92</v>
      </c>
      <c r="H14" t="s">
        <v>92</v>
      </c>
      <c r="I14" s="1">
        <v>641989</v>
      </c>
      <c r="J14" t="s">
        <v>92</v>
      </c>
      <c r="K14" t="s">
        <v>92</v>
      </c>
      <c r="L14" t="s">
        <v>92</v>
      </c>
      <c r="M14" s="1">
        <v>681101</v>
      </c>
      <c r="N14" t="s">
        <v>92</v>
      </c>
      <c r="O14" t="s">
        <v>92</v>
      </c>
      <c r="P14" t="s">
        <v>92</v>
      </c>
      <c r="Q14" s="1">
        <v>718604</v>
      </c>
      <c r="R14" t="s">
        <v>92</v>
      </c>
      <c r="S14" t="s">
        <v>92</v>
      </c>
      <c r="T14" t="s">
        <v>92</v>
      </c>
      <c r="U14" s="1">
        <v>764153</v>
      </c>
      <c r="V14" t="s">
        <v>92</v>
      </c>
      <c r="W14" t="s">
        <v>92</v>
      </c>
      <c r="X14" t="s">
        <v>92</v>
      </c>
      <c r="Y14" s="1">
        <v>803842</v>
      </c>
      <c r="Z14" t="s">
        <v>92</v>
      </c>
      <c r="AA14" t="s">
        <v>92</v>
      </c>
      <c r="AB14" t="s">
        <v>92</v>
      </c>
      <c r="AC14" s="1">
        <v>857986</v>
      </c>
      <c r="AD14" t="s">
        <v>92</v>
      </c>
      <c r="AE14" t="s">
        <v>92</v>
      </c>
      <c r="AF14" t="s">
        <v>92</v>
      </c>
      <c r="AG14" s="1">
        <v>893533</v>
      </c>
      <c r="AH14" t="s">
        <v>92</v>
      </c>
      <c r="AI14" t="s">
        <v>92</v>
      </c>
      <c r="AJ14" t="s">
        <v>92</v>
      </c>
      <c r="AK14" s="1">
        <v>887910</v>
      </c>
      <c r="AL14" t="s">
        <v>92</v>
      </c>
      <c r="AM14" t="s">
        <v>92</v>
      </c>
      <c r="AN14" t="s">
        <v>92</v>
      </c>
      <c r="AO14" s="1">
        <v>942989</v>
      </c>
      <c r="AP14" s="1">
        <v>914050</v>
      </c>
      <c r="AQ14" s="1">
        <v>962238</v>
      </c>
      <c r="AR14" s="1">
        <v>1006339</v>
      </c>
      <c r="AS14" s="1">
        <v>1044575</v>
      </c>
      <c r="AT14" s="1">
        <v>1110209</v>
      </c>
      <c r="AU14" s="1">
        <v>1156751</v>
      </c>
      <c r="AV14" s="1">
        <v>1195905</v>
      </c>
      <c r="AW14" s="1">
        <v>1211594</v>
      </c>
      <c r="AX14" s="1">
        <v>1214538</v>
      </c>
      <c r="AY14" s="1">
        <v>1156192</v>
      </c>
      <c r="AZ14" s="1">
        <v>1130975</v>
      </c>
      <c r="BA14" s="1">
        <v>1134821</v>
      </c>
      <c r="BB14" s="1">
        <v>1159192</v>
      </c>
      <c r="BC14" s="1">
        <v>1171626</v>
      </c>
      <c r="BD14" s="1">
        <v>1147002</v>
      </c>
      <c r="BE14" s="1">
        <v>1156039</v>
      </c>
      <c r="BF14" s="1">
        <v>1186363</v>
      </c>
      <c r="BG14" t="s">
        <v>92</v>
      </c>
      <c r="BH14" t="s">
        <v>92</v>
      </c>
      <c r="BI14" t="s">
        <v>92</v>
      </c>
      <c r="BJ14" s="1">
        <v>57373</v>
      </c>
      <c r="BK14" t="s">
        <v>92</v>
      </c>
      <c r="BL14" t="s">
        <v>92</v>
      </c>
      <c r="BM14" t="s">
        <v>92</v>
      </c>
      <c r="BN14" s="1">
        <v>58384</v>
      </c>
      <c r="BO14" t="s">
        <v>92</v>
      </c>
      <c r="BP14" t="s">
        <v>92</v>
      </c>
      <c r="BQ14" t="s">
        <v>92</v>
      </c>
      <c r="BR14" s="1">
        <v>56974</v>
      </c>
      <c r="BS14" t="s">
        <v>92</v>
      </c>
      <c r="BT14" t="s">
        <v>92</v>
      </c>
      <c r="BU14" t="s">
        <v>92</v>
      </c>
      <c r="BV14" s="1">
        <v>55127</v>
      </c>
      <c r="BW14" t="s">
        <v>92</v>
      </c>
      <c r="BX14" t="s">
        <v>92</v>
      </c>
      <c r="BY14" t="s">
        <v>92</v>
      </c>
      <c r="BZ14" s="1">
        <v>54832</v>
      </c>
      <c r="CA14" t="s">
        <v>92</v>
      </c>
      <c r="CB14" t="s">
        <v>92</v>
      </c>
      <c r="CC14" t="s">
        <v>92</v>
      </c>
      <c r="CD14" s="1">
        <v>56577</v>
      </c>
      <c r="CE14" t="s">
        <v>92</v>
      </c>
      <c r="CF14" t="s">
        <v>92</v>
      </c>
      <c r="CG14" t="s">
        <v>92</v>
      </c>
      <c r="CH14" s="1">
        <v>56535</v>
      </c>
      <c r="CI14" t="s">
        <v>92</v>
      </c>
      <c r="CJ14" t="s">
        <v>92</v>
      </c>
      <c r="CK14" t="s">
        <v>92</v>
      </c>
      <c r="CL14" s="1">
        <v>57559</v>
      </c>
      <c r="CM14" t="s">
        <v>92</v>
      </c>
      <c r="CN14" t="s">
        <v>92</v>
      </c>
      <c r="CO14" t="s">
        <v>92</v>
      </c>
      <c r="CP14" s="1">
        <v>66248</v>
      </c>
      <c r="CQ14" t="s">
        <v>92</v>
      </c>
      <c r="CR14" t="s">
        <v>92</v>
      </c>
      <c r="CS14" t="s">
        <v>92</v>
      </c>
      <c r="CT14" s="1">
        <v>68561</v>
      </c>
      <c r="CU14" s="1">
        <v>65897</v>
      </c>
      <c r="CV14" s="1">
        <v>65305</v>
      </c>
      <c r="CW14" s="1">
        <v>65191</v>
      </c>
      <c r="CX14" s="1">
        <v>59781</v>
      </c>
      <c r="CY14" s="1">
        <v>49431</v>
      </c>
      <c r="CZ14" s="1">
        <v>49960</v>
      </c>
      <c r="DA14" s="1">
        <v>45923</v>
      </c>
      <c r="DB14" s="1">
        <v>41097</v>
      </c>
      <c r="DC14" s="1">
        <v>40446</v>
      </c>
      <c r="DD14" s="1">
        <v>47350</v>
      </c>
      <c r="DE14" s="1">
        <v>56530</v>
      </c>
      <c r="DF14" s="1">
        <v>58444</v>
      </c>
      <c r="DG14" s="1">
        <v>55136</v>
      </c>
      <c r="DH14" s="1">
        <v>55413</v>
      </c>
      <c r="DI14" s="1">
        <v>57804</v>
      </c>
      <c r="DJ14" s="1">
        <v>60593</v>
      </c>
      <c r="DK14" s="1">
        <v>58162</v>
      </c>
      <c r="DL14" t="s">
        <v>92</v>
      </c>
      <c r="DM14" t="s">
        <v>92</v>
      </c>
      <c r="DN14" t="s">
        <v>92</v>
      </c>
      <c r="DO14" s="1">
        <v>143755</v>
      </c>
      <c r="DP14" t="s">
        <v>92</v>
      </c>
      <c r="DQ14" t="s">
        <v>92</v>
      </c>
      <c r="DR14" t="s">
        <v>92</v>
      </c>
      <c r="DS14" s="1">
        <v>149382</v>
      </c>
      <c r="DT14" t="s">
        <v>92</v>
      </c>
      <c r="DU14" t="s">
        <v>92</v>
      </c>
      <c r="DV14" t="s">
        <v>92</v>
      </c>
      <c r="DW14" s="1">
        <v>160793</v>
      </c>
      <c r="DX14" t="s">
        <v>92</v>
      </c>
      <c r="DY14" t="s">
        <v>92</v>
      </c>
      <c r="DZ14" t="s">
        <v>92</v>
      </c>
      <c r="EA14" s="1">
        <v>171429</v>
      </c>
      <c r="EB14" t="s">
        <v>92</v>
      </c>
      <c r="EC14" t="s">
        <v>92</v>
      </c>
      <c r="ED14" t="s">
        <v>92</v>
      </c>
      <c r="EE14" s="1">
        <v>178845</v>
      </c>
      <c r="EF14" t="s">
        <v>92</v>
      </c>
      <c r="EG14" t="s">
        <v>92</v>
      </c>
      <c r="EH14" t="s">
        <v>92</v>
      </c>
      <c r="EI14" s="1">
        <v>190393</v>
      </c>
      <c r="EJ14" t="s">
        <v>92</v>
      </c>
      <c r="EK14" t="s">
        <v>92</v>
      </c>
      <c r="EL14" t="s">
        <v>92</v>
      </c>
      <c r="EM14" s="1">
        <v>204129</v>
      </c>
      <c r="EN14" t="s">
        <v>92</v>
      </c>
      <c r="EO14" t="s">
        <v>92</v>
      </c>
      <c r="EP14" t="s">
        <v>92</v>
      </c>
      <c r="EQ14" s="1">
        <v>212756</v>
      </c>
      <c r="ER14" t="s">
        <v>92</v>
      </c>
      <c r="ES14" t="s">
        <v>92</v>
      </c>
      <c r="ET14" t="s">
        <v>92</v>
      </c>
      <c r="EU14" s="1">
        <v>212194</v>
      </c>
      <c r="EV14" t="s">
        <v>92</v>
      </c>
      <c r="EW14" t="s">
        <v>92</v>
      </c>
      <c r="EX14" t="s">
        <v>92</v>
      </c>
      <c r="EY14" s="1">
        <v>225740</v>
      </c>
      <c r="EZ14" s="1">
        <v>222392</v>
      </c>
      <c r="FA14" s="1">
        <v>229405</v>
      </c>
      <c r="FB14" s="1">
        <v>239796</v>
      </c>
      <c r="FC14" s="1">
        <v>247213</v>
      </c>
      <c r="FD14" s="1">
        <v>264593</v>
      </c>
      <c r="FE14" s="1">
        <v>274008</v>
      </c>
      <c r="FF14" s="1">
        <v>284910</v>
      </c>
      <c r="FG14" s="1">
        <v>285691</v>
      </c>
      <c r="FH14" s="1">
        <v>287726</v>
      </c>
      <c r="FI14" s="1">
        <v>279390</v>
      </c>
      <c r="FJ14" s="1">
        <v>270350</v>
      </c>
      <c r="FK14" s="1">
        <v>271022</v>
      </c>
      <c r="FL14" s="1">
        <v>275853</v>
      </c>
      <c r="FM14" s="1">
        <v>277835</v>
      </c>
      <c r="FN14" s="1">
        <v>273079</v>
      </c>
      <c r="FO14" s="1">
        <v>276100</v>
      </c>
      <c r="FP14" s="1">
        <v>279832</v>
      </c>
      <c r="FQ14" t="s">
        <v>92</v>
      </c>
      <c r="FR14" t="s">
        <v>92</v>
      </c>
      <c r="FS14" t="s">
        <v>92</v>
      </c>
      <c r="FT14" s="1">
        <v>356779</v>
      </c>
      <c r="FU14" t="s">
        <v>92</v>
      </c>
      <c r="FV14" t="s">
        <v>92</v>
      </c>
      <c r="FW14" t="s">
        <v>92</v>
      </c>
      <c r="FX14" s="1">
        <v>375404</v>
      </c>
      <c r="FY14" t="s">
        <v>92</v>
      </c>
      <c r="FZ14" t="s">
        <v>92</v>
      </c>
      <c r="GA14" t="s">
        <v>92</v>
      </c>
      <c r="GB14" s="1">
        <v>398516</v>
      </c>
      <c r="GC14" t="s">
        <v>92</v>
      </c>
      <c r="GD14" t="s">
        <v>92</v>
      </c>
      <c r="GE14" t="s">
        <v>92</v>
      </c>
      <c r="GF14" s="1">
        <v>419331</v>
      </c>
      <c r="GG14" t="s">
        <v>92</v>
      </c>
      <c r="GH14" t="s">
        <v>92</v>
      </c>
      <c r="GI14" t="s">
        <v>92</v>
      </c>
      <c r="GJ14" s="1">
        <v>444767</v>
      </c>
      <c r="GK14" t="s">
        <v>92</v>
      </c>
      <c r="GL14" t="s">
        <v>92</v>
      </c>
      <c r="GM14" t="s">
        <v>92</v>
      </c>
      <c r="GN14" s="1">
        <v>466940</v>
      </c>
      <c r="GO14" t="s">
        <v>92</v>
      </c>
      <c r="GP14" t="s">
        <v>92</v>
      </c>
      <c r="GQ14" t="s">
        <v>92</v>
      </c>
      <c r="GR14" s="1">
        <v>497114</v>
      </c>
      <c r="GS14" t="s">
        <v>92</v>
      </c>
      <c r="GT14" t="s">
        <v>92</v>
      </c>
      <c r="GU14" t="s">
        <v>92</v>
      </c>
      <c r="GV14" s="1">
        <v>515555</v>
      </c>
      <c r="GW14" t="s">
        <v>92</v>
      </c>
      <c r="GX14" t="s">
        <v>92</v>
      </c>
      <c r="GY14" t="s">
        <v>92</v>
      </c>
      <c r="GZ14" s="1">
        <v>506548</v>
      </c>
      <c r="HA14" t="s">
        <v>92</v>
      </c>
      <c r="HB14" t="s">
        <v>92</v>
      </c>
      <c r="HC14" t="s">
        <v>92</v>
      </c>
      <c r="HD14" s="1">
        <v>529477</v>
      </c>
      <c r="HE14" s="1">
        <v>515887</v>
      </c>
      <c r="HF14" s="1">
        <v>543187</v>
      </c>
      <c r="HG14" s="1">
        <v>569001</v>
      </c>
      <c r="HH14" s="1">
        <v>587560</v>
      </c>
      <c r="HI14" s="1">
        <v>629812</v>
      </c>
      <c r="HJ14" s="1">
        <v>658334</v>
      </c>
      <c r="HK14" s="1">
        <v>689651</v>
      </c>
      <c r="HL14" s="1">
        <v>705075</v>
      </c>
      <c r="HM14" s="1">
        <v>711932</v>
      </c>
      <c r="HN14" s="1">
        <v>674108</v>
      </c>
      <c r="HO14" s="1">
        <v>657795</v>
      </c>
      <c r="HP14" s="1">
        <v>653783</v>
      </c>
      <c r="HQ14" s="1">
        <v>668490</v>
      </c>
      <c r="HR14" s="1">
        <v>676793</v>
      </c>
      <c r="HS14" s="1">
        <v>662456</v>
      </c>
      <c r="HT14" s="1">
        <v>656384</v>
      </c>
      <c r="HU14" s="1">
        <v>675017</v>
      </c>
      <c r="HV14" t="s">
        <v>92</v>
      </c>
      <c r="HW14" t="s">
        <v>92</v>
      </c>
      <c r="HX14" t="s">
        <v>92</v>
      </c>
      <c r="HY14" s="1">
        <v>657337</v>
      </c>
      <c r="HZ14" t="s">
        <v>92</v>
      </c>
      <c r="IA14" t="s">
        <v>92</v>
      </c>
      <c r="IB14" t="s">
        <v>92</v>
      </c>
      <c r="IC14" s="1">
        <v>682427</v>
      </c>
      <c r="ID14" t="s">
        <v>92</v>
      </c>
      <c r="IE14" t="s">
        <v>92</v>
      </c>
      <c r="IF14" t="s">
        <v>92</v>
      </c>
      <c r="IG14" s="1">
        <v>725971</v>
      </c>
      <c r="IH14" t="s">
        <v>92</v>
      </c>
      <c r="II14" t="s">
        <v>92</v>
      </c>
      <c r="IJ14" t="s">
        <v>92</v>
      </c>
      <c r="IK14" s="1">
        <v>766960</v>
      </c>
      <c r="IL14" t="s">
        <v>92</v>
      </c>
      <c r="IM14" t="s">
        <v>92</v>
      </c>
      <c r="IN14" t="s">
        <v>92</v>
      </c>
      <c r="IO14" s="1">
        <v>814295</v>
      </c>
      <c r="IP14" t="s">
        <v>92</v>
      </c>
      <c r="IQ14" t="s">
        <v>92</v>
      </c>
      <c r="IR14" t="s">
        <v>92</v>
      </c>
      <c r="IS14" s="1">
        <v>856559</v>
      </c>
      <c r="IT14" t="s">
        <v>92</v>
      </c>
      <c r="IU14" t="s">
        <v>92</v>
      </c>
      <c r="IV14" t="s">
        <v>92</v>
      </c>
      <c r="IW14" s="1">
        <v>912924</v>
      </c>
      <c r="IX14" t="s">
        <v>92</v>
      </c>
      <c r="IY14" t="s">
        <v>92</v>
      </c>
      <c r="IZ14" t="s">
        <v>92</v>
      </c>
      <c r="JA14" s="1">
        <v>948964</v>
      </c>
      <c r="JB14" t="s">
        <v>92</v>
      </c>
      <c r="JC14" t="s">
        <v>92</v>
      </c>
      <c r="JD14" t="s">
        <v>92</v>
      </c>
      <c r="JE14" s="1">
        <v>933016</v>
      </c>
      <c r="JF14" t="s">
        <v>92</v>
      </c>
      <c r="JG14" t="s">
        <v>92</v>
      </c>
      <c r="JH14" t="s">
        <v>92</v>
      </c>
      <c r="JI14" s="1">
        <v>990795</v>
      </c>
      <c r="JJ14" s="1">
        <v>966947</v>
      </c>
      <c r="JK14" s="1">
        <v>1014096</v>
      </c>
      <c r="JL14" s="1">
        <v>1059961</v>
      </c>
      <c r="JM14" s="1">
        <v>1110189</v>
      </c>
      <c r="JN14" s="1">
        <v>1186914</v>
      </c>
      <c r="JO14" s="1">
        <v>1236495</v>
      </c>
      <c r="JP14" s="1">
        <v>1282096</v>
      </c>
      <c r="JQ14" s="1">
        <v>1299421</v>
      </c>
      <c r="JR14" s="1">
        <v>1301117</v>
      </c>
      <c r="JS14" s="1">
        <v>1243397</v>
      </c>
      <c r="JT14" s="1">
        <v>1207937</v>
      </c>
      <c r="JU14" s="1">
        <v>1205986</v>
      </c>
      <c r="JV14" s="1">
        <v>1232535</v>
      </c>
      <c r="JW14" s="1">
        <v>1244937</v>
      </c>
      <c r="JX14" s="1">
        <v>1218190</v>
      </c>
      <c r="JY14" s="1">
        <v>1224305</v>
      </c>
      <c r="JZ14" s="1">
        <v>1253928</v>
      </c>
      <c r="KA14" t="s">
        <v>92</v>
      </c>
      <c r="KB14" t="s">
        <v>92</v>
      </c>
      <c r="KC14" t="s">
        <v>92</v>
      </c>
      <c r="KD14" s="1">
        <v>1896395</v>
      </c>
      <c r="KE14" t="s">
        <v>92</v>
      </c>
      <c r="KF14" t="s">
        <v>92</v>
      </c>
      <c r="KG14" t="s">
        <v>92</v>
      </c>
      <c r="KH14" s="1">
        <v>1944349</v>
      </c>
      <c r="KI14" t="s">
        <v>92</v>
      </c>
      <c r="KJ14" t="s">
        <v>92</v>
      </c>
      <c r="KK14" t="s">
        <v>92</v>
      </c>
      <c r="KL14" s="1">
        <v>2063251</v>
      </c>
      <c r="KM14" t="s">
        <v>92</v>
      </c>
      <c r="KN14" t="s">
        <v>92</v>
      </c>
      <c r="KO14" t="s">
        <v>92</v>
      </c>
      <c r="KP14" s="1">
        <v>2180175</v>
      </c>
      <c r="KQ14" t="s">
        <v>92</v>
      </c>
      <c r="KR14" t="s">
        <v>92</v>
      </c>
      <c r="KS14" t="s">
        <v>92</v>
      </c>
      <c r="KT14" s="1">
        <v>2328025</v>
      </c>
      <c r="KU14" t="s">
        <v>92</v>
      </c>
      <c r="KV14" t="s">
        <v>92</v>
      </c>
      <c r="KW14" t="s">
        <v>92</v>
      </c>
      <c r="KX14" s="1">
        <v>2448743</v>
      </c>
      <c r="KY14" t="s">
        <v>92</v>
      </c>
      <c r="KZ14" t="s">
        <v>92</v>
      </c>
      <c r="LA14" t="s">
        <v>92</v>
      </c>
      <c r="LB14" s="1">
        <v>2619228</v>
      </c>
      <c r="LC14" t="s">
        <v>92</v>
      </c>
      <c r="LD14" t="s">
        <v>92</v>
      </c>
      <c r="LE14" t="s">
        <v>92</v>
      </c>
      <c r="LF14" s="1">
        <v>2732831</v>
      </c>
      <c r="LG14" t="s">
        <v>92</v>
      </c>
      <c r="LH14" t="s">
        <v>92</v>
      </c>
      <c r="LI14" t="s">
        <v>92</v>
      </c>
      <c r="LJ14" s="1">
        <v>2721546</v>
      </c>
      <c r="LK14" t="s">
        <v>92</v>
      </c>
      <c r="LL14" t="s">
        <v>92</v>
      </c>
      <c r="LM14" t="s">
        <v>92</v>
      </c>
      <c r="LN14" s="1">
        <v>2900372</v>
      </c>
      <c r="LO14" s="1">
        <v>2799128</v>
      </c>
      <c r="LP14" s="1">
        <v>2959196</v>
      </c>
      <c r="LQ14" s="1">
        <v>3097745</v>
      </c>
      <c r="LR14" s="1">
        <v>3218134</v>
      </c>
      <c r="LS14" s="1">
        <v>3420294</v>
      </c>
      <c r="LT14" s="1">
        <v>3564956</v>
      </c>
      <c r="LU14" s="1">
        <v>3676947</v>
      </c>
      <c r="LV14" s="1">
        <v>3726684</v>
      </c>
      <c r="LW14" s="1">
        <v>3731469</v>
      </c>
      <c r="LX14" s="1">
        <v>3536713</v>
      </c>
      <c r="LY14" s="1">
        <v>3462261</v>
      </c>
      <c r="LZ14" s="1">
        <v>3484870</v>
      </c>
      <c r="MA14" s="1">
        <v>3563946</v>
      </c>
      <c r="MB14" s="1">
        <v>3603153</v>
      </c>
      <c r="MC14" s="1">
        <v>3523480</v>
      </c>
      <c r="MD14" s="1">
        <v>3562812</v>
      </c>
      <c r="ME14" s="1">
        <v>3664878</v>
      </c>
    </row>
    <row r="15" spans="1:343" x14ac:dyDescent="0.25">
      <c r="A15" t="s">
        <v>338</v>
      </c>
      <c r="B15" t="s">
        <v>92</v>
      </c>
      <c r="C15" t="s">
        <v>92</v>
      </c>
      <c r="D15" t="s">
        <v>92</v>
      </c>
      <c r="E15" s="1">
        <v>333473</v>
      </c>
      <c r="F15" t="s">
        <v>92</v>
      </c>
      <c r="G15" t="s">
        <v>92</v>
      </c>
      <c r="H15" t="s">
        <v>92</v>
      </c>
      <c r="I15" s="1">
        <v>336850</v>
      </c>
      <c r="J15" t="s">
        <v>92</v>
      </c>
      <c r="K15" t="s">
        <v>92</v>
      </c>
      <c r="L15" t="s">
        <v>92</v>
      </c>
      <c r="M15" s="1">
        <v>357632</v>
      </c>
      <c r="N15" t="s">
        <v>92</v>
      </c>
      <c r="O15" t="s">
        <v>92</v>
      </c>
      <c r="P15" t="s">
        <v>92</v>
      </c>
      <c r="Q15" s="1">
        <v>378521</v>
      </c>
      <c r="R15" t="s">
        <v>92</v>
      </c>
      <c r="S15" t="s">
        <v>92</v>
      </c>
      <c r="T15" t="s">
        <v>92</v>
      </c>
      <c r="U15" s="1">
        <v>409472</v>
      </c>
      <c r="V15" t="s">
        <v>92</v>
      </c>
      <c r="W15" t="s">
        <v>92</v>
      </c>
      <c r="X15" t="s">
        <v>92</v>
      </c>
      <c r="Y15" s="1">
        <v>426725</v>
      </c>
      <c r="Z15" t="s">
        <v>92</v>
      </c>
      <c r="AA15" t="s">
        <v>92</v>
      </c>
      <c r="AB15" t="s">
        <v>92</v>
      </c>
      <c r="AC15" s="1">
        <v>453871</v>
      </c>
      <c r="AD15" t="s">
        <v>92</v>
      </c>
      <c r="AE15" t="s">
        <v>92</v>
      </c>
      <c r="AF15" t="s">
        <v>92</v>
      </c>
      <c r="AG15" s="1">
        <v>474448</v>
      </c>
      <c r="AH15" t="s">
        <v>92</v>
      </c>
      <c r="AI15" t="s">
        <v>92</v>
      </c>
      <c r="AJ15" t="s">
        <v>92</v>
      </c>
      <c r="AK15" s="1">
        <v>471682</v>
      </c>
      <c r="AL15" t="s">
        <v>92</v>
      </c>
      <c r="AM15" t="s">
        <v>92</v>
      </c>
      <c r="AN15" t="s">
        <v>92</v>
      </c>
      <c r="AO15" s="1">
        <v>509287</v>
      </c>
      <c r="AP15" s="1">
        <v>476010</v>
      </c>
      <c r="AQ15" s="1">
        <v>507061</v>
      </c>
      <c r="AR15" s="1">
        <v>529110</v>
      </c>
      <c r="AS15" s="1">
        <v>544932</v>
      </c>
      <c r="AT15" s="1">
        <v>565225</v>
      </c>
      <c r="AU15" s="1">
        <v>588120</v>
      </c>
      <c r="AV15" s="1">
        <v>592085</v>
      </c>
      <c r="AW15" s="1">
        <v>590985</v>
      </c>
      <c r="AX15" s="1">
        <v>574253</v>
      </c>
      <c r="AY15" s="1">
        <v>544621</v>
      </c>
      <c r="AZ15" s="1">
        <v>542952</v>
      </c>
      <c r="BA15" s="1">
        <v>556352</v>
      </c>
      <c r="BB15" s="1">
        <v>567752</v>
      </c>
      <c r="BC15" s="1">
        <v>571559</v>
      </c>
      <c r="BD15" s="1">
        <v>558239</v>
      </c>
      <c r="BE15" s="1">
        <v>578383</v>
      </c>
      <c r="BF15" s="1">
        <v>597772</v>
      </c>
      <c r="BG15" t="s">
        <v>92</v>
      </c>
      <c r="BH15" t="s">
        <v>92</v>
      </c>
      <c r="BI15" t="s">
        <v>92</v>
      </c>
      <c r="BJ15" s="1">
        <v>8044</v>
      </c>
      <c r="BK15" t="s">
        <v>92</v>
      </c>
      <c r="BL15" t="s">
        <v>92</v>
      </c>
      <c r="BM15" t="s">
        <v>92</v>
      </c>
      <c r="BN15" s="1">
        <v>7940</v>
      </c>
      <c r="BO15" t="s">
        <v>92</v>
      </c>
      <c r="BP15" t="s">
        <v>92</v>
      </c>
      <c r="BQ15" t="s">
        <v>92</v>
      </c>
      <c r="BR15" s="1">
        <v>8140</v>
      </c>
      <c r="BS15" t="s">
        <v>92</v>
      </c>
      <c r="BT15" t="s">
        <v>92</v>
      </c>
      <c r="BU15" t="s">
        <v>92</v>
      </c>
      <c r="BV15" s="1">
        <v>8554</v>
      </c>
      <c r="BW15" t="s">
        <v>92</v>
      </c>
      <c r="BX15" t="s">
        <v>92</v>
      </c>
      <c r="BY15" t="s">
        <v>92</v>
      </c>
      <c r="BZ15" s="1">
        <v>9108</v>
      </c>
      <c r="CA15" t="s">
        <v>92</v>
      </c>
      <c r="CB15" t="s">
        <v>92</v>
      </c>
      <c r="CC15" t="s">
        <v>92</v>
      </c>
      <c r="CD15" s="1">
        <v>10005</v>
      </c>
      <c r="CE15" t="s">
        <v>92</v>
      </c>
      <c r="CF15" t="s">
        <v>92</v>
      </c>
      <c r="CG15" t="s">
        <v>92</v>
      </c>
      <c r="CH15" s="1">
        <v>10729</v>
      </c>
      <c r="CI15" t="s">
        <v>92</v>
      </c>
      <c r="CJ15" t="s">
        <v>92</v>
      </c>
      <c r="CK15" t="s">
        <v>92</v>
      </c>
      <c r="CL15" s="1">
        <v>11207</v>
      </c>
      <c r="CM15" t="s">
        <v>92</v>
      </c>
      <c r="CN15" t="s">
        <v>92</v>
      </c>
      <c r="CO15" t="s">
        <v>92</v>
      </c>
      <c r="CP15" s="1">
        <v>11595</v>
      </c>
      <c r="CQ15" t="s">
        <v>92</v>
      </c>
      <c r="CR15" t="s">
        <v>92</v>
      </c>
      <c r="CS15" t="s">
        <v>92</v>
      </c>
      <c r="CT15" s="1">
        <v>12033</v>
      </c>
      <c r="CU15" s="1">
        <v>11071</v>
      </c>
      <c r="CV15" s="1">
        <v>10851</v>
      </c>
      <c r="CW15" s="1">
        <v>11310</v>
      </c>
      <c r="CX15" s="1">
        <v>11217</v>
      </c>
      <c r="CY15" s="1">
        <v>11097</v>
      </c>
      <c r="CZ15" s="1">
        <v>11411</v>
      </c>
      <c r="DA15" s="1">
        <v>10902</v>
      </c>
      <c r="DB15" s="1">
        <v>10870</v>
      </c>
      <c r="DC15" s="1">
        <v>10844</v>
      </c>
      <c r="DD15" s="1">
        <v>10666</v>
      </c>
      <c r="DE15" s="1">
        <v>11266</v>
      </c>
      <c r="DF15" s="1">
        <v>11434</v>
      </c>
      <c r="DG15" s="1">
        <v>11466</v>
      </c>
      <c r="DH15" s="1">
        <v>11676</v>
      </c>
      <c r="DI15" s="1">
        <v>11563</v>
      </c>
      <c r="DJ15" s="1">
        <v>11805</v>
      </c>
      <c r="DK15" s="1">
        <v>11974</v>
      </c>
      <c r="DL15" t="s">
        <v>92</v>
      </c>
      <c r="DM15" t="s">
        <v>92</v>
      </c>
      <c r="DN15" t="s">
        <v>92</v>
      </c>
      <c r="DO15" s="1">
        <v>33604</v>
      </c>
      <c r="DP15" t="s">
        <v>92</v>
      </c>
      <c r="DQ15" t="s">
        <v>92</v>
      </c>
      <c r="DR15" t="s">
        <v>92</v>
      </c>
      <c r="DS15" s="1">
        <v>34427</v>
      </c>
      <c r="DT15" t="s">
        <v>92</v>
      </c>
      <c r="DU15" t="s">
        <v>92</v>
      </c>
      <c r="DV15" t="s">
        <v>92</v>
      </c>
      <c r="DW15" s="1">
        <v>37781</v>
      </c>
      <c r="DX15" t="s">
        <v>92</v>
      </c>
      <c r="DY15" t="s">
        <v>92</v>
      </c>
      <c r="DZ15" t="s">
        <v>92</v>
      </c>
      <c r="EA15" s="1">
        <v>42182</v>
      </c>
      <c r="EB15" t="s">
        <v>92</v>
      </c>
      <c r="EC15" t="s">
        <v>92</v>
      </c>
      <c r="ED15" t="s">
        <v>92</v>
      </c>
      <c r="EE15" s="1">
        <v>47658</v>
      </c>
      <c r="EF15" t="s">
        <v>92</v>
      </c>
      <c r="EG15" t="s">
        <v>92</v>
      </c>
      <c r="EH15" t="s">
        <v>92</v>
      </c>
      <c r="EI15" s="1">
        <v>52641</v>
      </c>
      <c r="EJ15" t="s">
        <v>92</v>
      </c>
      <c r="EK15" t="s">
        <v>92</v>
      </c>
      <c r="EL15" t="s">
        <v>92</v>
      </c>
      <c r="EM15" s="1">
        <v>57969</v>
      </c>
      <c r="EN15" t="s">
        <v>92</v>
      </c>
      <c r="EO15" t="s">
        <v>92</v>
      </c>
      <c r="EP15" t="s">
        <v>92</v>
      </c>
      <c r="EQ15" s="1">
        <v>61395</v>
      </c>
      <c r="ER15" t="s">
        <v>92</v>
      </c>
      <c r="ES15" t="s">
        <v>92</v>
      </c>
      <c r="ET15" t="s">
        <v>92</v>
      </c>
      <c r="EU15" s="1">
        <v>62074</v>
      </c>
      <c r="EV15" t="s">
        <v>92</v>
      </c>
      <c r="EW15" t="s">
        <v>92</v>
      </c>
      <c r="EX15" t="s">
        <v>92</v>
      </c>
      <c r="EY15" s="1">
        <v>68341</v>
      </c>
      <c r="EZ15" s="1">
        <v>65206</v>
      </c>
      <c r="FA15" s="1">
        <v>69532</v>
      </c>
      <c r="FB15" s="1">
        <v>72758</v>
      </c>
      <c r="FC15" s="1">
        <v>75502</v>
      </c>
      <c r="FD15" s="1">
        <v>79710</v>
      </c>
      <c r="FE15" s="1">
        <v>83596</v>
      </c>
      <c r="FF15" s="1">
        <v>87215</v>
      </c>
      <c r="FG15" s="1">
        <v>88705</v>
      </c>
      <c r="FH15" s="1">
        <v>87549</v>
      </c>
      <c r="FI15" s="1">
        <v>82224</v>
      </c>
      <c r="FJ15" s="1">
        <v>80055</v>
      </c>
      <c r="FK15" s="1">
        <v>80721</v>
      </c>
      <c r="FL15" s="1">
        <v>82931</v>
      </c>
      <c r="FM15" s="1">
        <v>83336</v>
      </c>
      <c r="FN15" s="1">
        <v>81333</v>
      </c>
      <c r="FO15" s="1">
        <v>82344</v>
      </c>
      <c r="FP15" s="1">
        <v>85275</v>
      </c>
      <c r="FQ15" t="s">
        <v>92</v>
      </c>
      <c r="FR15" t="s">
        <v>92</v>
      </c>
      <c r="FS15" t="s">
        <v>92</v>
      </c>
      <c r="FT15" s="1">
        <v>113248</v>
      </c>
      <c r="FU15" t="s">
        <v>92</v>
      </c>
      <c r="FV15" t="s">
        <v>92</v>
      </c>
      <c r="FW15" t="s">
        <v>92</v>
      </c>
      <c r="FX15" s="1">
        <v>117214</v>
      </c>
      <c r="FY15" t="s">
        <v>92</v>
      </c>
      <c r="FZ15" t="s">
        <v>92</v>
      </c>
      <c r="GA15" t="s">
        <v>92</v>
      </c>
      <c r="GB15" s="1">
        <v>125834</v>
      </c>
      <c r="GC15" t="s">
        <v>92</v>
      </c>
      <c r="GD15" t="s">
        <v>92</v>
      </c>
      <c r="GE15" t="s">
        <v>92</v>
      </c>
      <c r="GF15" s="1">
        <v>136523</v>
      </c>
      <c r="GG15" t="s">
        <v>92</v>
      </c>
      <c r="GH15" t="s">
        <v>92</v>
      </c>
      <c r="GI15" t="s">
        <v>92</v>
      </c>
      <c r="GJ15" s="1">
        <v>150937</v>
      </c>
      <c r="GK15" t="s">
        <v>92</v>
      </c>
      <c r="GL15" t="s">
        <v>92</v>
      </c>
      <c r="GM15" t="s">
        <v>92</v>
      </c>
      <c r="GN15" s="1">
        <v>164004</v>
      </c>
      <c r="GO15" t="s">
        <v>92</v>
      </c>
      <c r="GP15" t="s">
        <v>92</v>
      </c>
      <c r="GQ15" t="s">
        <v>92</v>
      </c>
      <c r="GR15" s="1">
        <v>177986</v>
      </c>
      <c r="GS15" t="s">
        <v>92</v>
      </c>
      <c r="GT15" t="s">
        <v>92</v>
      </c>
      <c r="GU15" t="s">
        <v>92</v>
      </c>
      <c r="GV15" s="1">
        <v>187480</v>
      </c>
      <c r="GW15" t="s">
        <v>92</v>
      </c>
      <c r="GX15" t="s">
        <v>92</v>
      </c>
      <c r="GY15" t="s">
        <v>92</v>
      </c>
      <c r="GZ15" s="1">
        <v>184269</v>
      </c>
      <c r="HA15" t="s">
        <v>92</v>
      </c>
      <c r="HB15" t="s">
        <v>92</v>
      </c>
      <c r="HC15" t="s">
        <v>92</v>
      </c>
      <c r="HD15" s="1">
        <v>199834</v>
      </c>
      <c r="HE15" s="1">
        <v>188969</v>
      </c>
      <c r="HF15" s="1">
        <v>198424</v>
      </c>
      <c r="HG15" s="1">
        <v>206509</v>
      </c>
      <c r="HH15" s="1">
        <v>212961</v>
      </c>
      <c r="HI15" s="1">
        <v>223758</v>
      </c>
      <c r="HJ15" s="1">
        <v>231704</v>
      </c>
      <c r="HK15" s="1">
        <v>235252</v>
      </c>
      <c r="HL15" s="1">
        <v>236487</v>
      </c>
      <c r="HM15" s="1">
        <v>232514</v>
      </c>
      <c r="HN15" s="1">
        <v>221395</v>
      </c>
      <c r="HO15" s="1">
        <v>219229</v>
      </c>
      <c r="HP15" s="1">
        <v>221232</v>
      </c>
      <c r="HQ15" s="1">
        <v>225068</v>
      </c>
      <c r="HR15" s="1">
        <v>226610</v>
      </c>
      <c r="HS15" s="1">
        <v>222206</v>
      </c>
      <c r="HT15" s="1">
        <v>227456</v>
      </c>
      <c r="HU15" s="1">
        <v>233758</v>
      </c>
      <c r="HV15" t="s">
        <v>92</v>
      </c>
      <c r="HW15" t="s">
        <v>92</v>
      </c>
      <c r="HX15" t="s">
        <v>92</v>
      </c>
      <c r="HY15" s="1">
        <v>306266</v>
      </c>
      <c r="HZ15" t="s">
        <v>92</v>
      </c>
      <c r="IA15" t="s">
        <v>92</v>
      </c>
      <c r="IB15" t="s">
        <v>92</v>
      </c>
      <c r="IC15" s="1">
        <v>312937</v>
      </c>
      <c r="ID15" t="s">
        <v>92</v>
      </c>
      <c r="IE15" t="s">
        <v>92</v>
      </c>
      <c r="IF15" t="s">
        <v>92</v>
      </c>
      <c r="IG15" s="1">
        <v>333797</v>
      </c>
      <c r="IH15" t="s">
        <v>92</v>
      </c>
      <c r="II15" t="s">
        <v>92</v>
      </c>
      <c r="IJ15" t="s">
        <v>92</v>
      </c>
      <c r="IK15" s="1">
        <v>354819</v>
      </c>
      <c r="IL15" t="s">
        <v>92</v>
      </c>
      <c r="IM15" t="s">
        <v>92</v>
      </c>
      <c r="IN15" t="s">
        <v>92</v>
      </c>
      <c r="IO15" s="1">
        <v>386305</v>
      </c>
      <c r="IP15" t="s">
        <v>92</v>
      </c>
      <c r="IQ15" t="s">
        <v>92</v>
      </c>
      <c r="IR15" t="s">
        <v>92</v>
      </c>
      <c r="IS15" s="1">
        <v>404421</v>
      </c>
      <c r="IT15" t="s">
        <v>92</v>
      </c>
      <c r="IU15" t="s">
        <v>92</v>
      </c>
      <c r="IV15" t="s">
        <v>92</v>
      </c>
      <c r="IW15" s="1">
        <v>432377</v>
      </c>
      <c r="IX15" t="s">
        <v>92</v>
      </c>
      <c r="IY15" t="s">
        <v>92</v>
      </c>
      <c r="IZ15" t="s">
        <v>92</v>
      </c>
      <c r="JA15" s="1">
        <v>452087</v>
      </c>
      <c r="JB15" t="s">
        <v>92</v>
      </c>
      <c r="JC15" t="s">
        <v>92</v>
      </c>
      <c r="JD15" t="s">
        <v>92</v>
      </c>
      <c r="JE15" s="1">
        <v>435715</v>
      </c>
      <c r="JF15" t="s">
        <v>92</v>
      </c>
      <c r="JG15" t="s">
        <v>92</v>
      </c>
      <c r="JH15" t="s">
        <v>92</v>
      </c>
      <c r="JI15" s="1">
        <v>460743</v>
      </c>
      <c r="JJ15" s="1">
        <v>428186</v>
      </c>
      <c r="JK15" s="1">
        <v>455456</v>
      </c>
      <c r="JL15" s="1">
        <v>472439</v>
      </c>
      <c r="JM15" s="1">
        <v>485744</v>
      </c>
      <c r="JN15" s="1">
        <v>502522</v>
      </c>
      <c r="JO15" s="1">
        <v>521710</v>
      </c>
      <c r="JP15" s="1">
        <v>524116</v>
      </c>
      <c r="JQ15" s="1">
        <v>524105</v>
      </c>
      <c r="JR15" s="1">
        <v>510683</v>
      </c>
      <c r="JS15" s="1">
        <v>479341</v>
      </c>
      <c r="JT15" s="1">
        <v>476162</v>
      </c>
      <c r="JU15" s="1">
        <v>486292</v>
      </c>
      <c r="JV15" s="1">
        <v>497142</v>
      </c>
      <c r="JW15" s="1">
        <v>500615</v>
      </c>
      <c r="JX15" s="1">
        <v>487259</v>
      </c>
      <c r="JY15" s="1">
        <v>503197</v>
      </c>
      <c r="JZ15" s="1">
        <v>517997</v>
      </c>
      <c r="KA15" t="s">
        <v>92</v>
      </c>
      <c r="KB15" t="s">
        <v>92</v>
      </c>
      <c r="KC15" t="s">
        <v>92</v>
      </c>
      <c r="KD15" s="1">
        <v>1206204</v>
      </c>
      <c r="KE15" t="s">
        <v>92</v>
      </c>
      <c r="KF15" t="s">
        <v>92</v>
      </c>
      <c r="KG15" t="s">
        <v>92</v>
      </c>
      <c r="KH15" s="1">
        <v>1211731</v>
      </c>
      <c r="KI15" t="s">
        <v>92</v>
      </c>
      <c r="KJ15" t="s">
        <v>92</v>
      </c>
      <c r="KK15" t="s">
        <v>92</v>
      </c>
      <c r="KL15" s="1">
        <v>1282607</v>
      </c>
      <c r="KM15" t="s">
        <v>92</v>
      </c>
      <c r="KN15" t="s">
        <v>92</v>
      </c>
      <c r="KO15" t="s">
        <v>92</v>
      </c>
      <c r="KP15" s="1">
        <v>1350527</v>
      </c>
      <c r="KQ15" t="s">
        <v>92</v>
      </c>
      <c r="KR15" t="s">
        <v>92</v>
      </c>
      <c r="KS15" t="s">
        <v>92</v>
      </c>
      <c r="KT15" s="1">
        <v>1453350</v>
      </c>
      <c r="KU15" t="s">
        <v>92</v>
      </c>
      <c r="KV15" t="s">
        <v>92</v>
      </c>
      <c r="KW15" t="s">
        <v>92</v>
      </c>
      <c r="KX15" s="1">
        <v>1502554</v>
      </c>
      <c r="KY15" t="s">
        <v>92</v>
      </c>
      <c r="KZ15" t="s">
        <v>92</v>
      </c>
      <c r="LA15" t="s">
        <v>92</v>
      </c>
      <c r="LB15" s="1">
        <v>1590294</v>
      </c>
      <c r="LC15" t="s">
        <v>92</v>
      </c>
      <c r="LD15" t="s">
        <v>92</v>
      </c>
      <c r="LE15" t="s">
        <v>92</v>
      </c>
      <c r="LF15" s="1">
        <v>1660072</v>
      </c>
      <c r="LG15" t="s">
        <v>92</v>
      </c>
      <c r="LH15" t="s">
        <v>92</v>
      </c>
      <c r="LI15" t="s">
        <v>92</v>
      </c>
      <c r="LJ15" s="1">
        <v>1664755</v>
      </c>
      <c r="LK15" t="s">
        <v>92</v>
      </c>
      <c r="LL15" t="s">
        <v>92</v>
      </c>
      <c r="LM15" t="s">
        <v>92</v>
      </c>
      <c r="LN15" s="1">
        <v>1805484</v>
      </c>
      <c r="LO15" s="1">
        <v>1686616</v>
      </c>
      <c r="LP15" s="1">
        <v>1801042</v>
      </c>
      <c r="LQ15" s="1">
        <v>1882535</v>
      </c>
      <c r="LR15" s="1">
        <v>1939238</v>
      </c>
      <c r="LS15" s="1">
        <v>2009038</v>
      </c>
      <c r="LT15" s="1">
        <v>2092179</v>
      </c>
      <c r="LU15" s="1">
        <v>2102941</v>
      </c>
      <c r="LV15" s="1">
        <v>2094758</v>
      </c>
      <c r="LW15" s="1">
        <v>2029675</v>
      </c>
      <c r="LX15" s="1">
        <v>1929481</v>
      </c>
      <c r="LY15" s="1">
        <v>1928046</v>
      </c>
      <c r="LZ15" s="1">
        <v>1982080</v>
      </c>
      <c r="MA15" s="1">
        <v>2022152</v>
      </c>
      <c r="MB15" s="1">
        <v>2035559</v>
      </c>
      <c r="MC15" s="1">
        <v>1988833</v>
      </c>
      <c r="MD15" s="1">
        <v>2067110</v>
      </c>
      <c r="ME15" s="1">
        <v>2139853</v>
      </c>
    </row>
    <row r="16" spans="1:343" x14ac:dyDescent="0.25">
      <c r="A16" t="s">
        <v>339</v>
      </c>
      <c r="B16" t="s">
        <v>92</v>
      </c>
      <c r="C16" t="s">
        <v>92</v>
      </c>
      <c r="D16" t="s">
        <v>92</v>
      </c>
      <c r="E16" s="1">
        <v>117973</v>
      </c>
      <c r="F16" t="s">
        <v>92</v>
      </c>
      <c r="G16" t="s">
        <v>92</v>
      </c>
      <c r="H16" t="s">
        <v>92</v>
      </c>
      <c r="I16" s="1">
        <v>126773</v>
      </c>
      <c r="J16" t="s">
        <v>92</v>
      </c>
      <c r="K16" t="s">
        <v>92</v>
      </c>
      <c r="L16" t="s">
        <v>92</v>
      </c>
      <c r="M16" s="1">
        <v>135424</v>
      </c>
      <c r="N16" t="s">
        <v>92</v>
      </c>
      <c r="O16" t="s">
        <v>92</v>
      </c>
      <c r="P16" t="s">
        <v>92</v>
      </c>
      <c r="Q16" s="1">
        <v>139755</v>
      </c>
      <c r="R16" t="s">
        <v>92</v>
      </c>
      <c r="S16" t="s">
        <v>92</v>
      </c>
      <c r="T16" t="s">
        <v>92</v>
      </c>
      <c r="U16" s="1">
        <v>151269</v>
      </c>
      <c r="V16" t="s">
        <v>92</v>
      </c>
      <c r="W16" t="s">
        <v>92</v>
      </c>
      <c r="X16" t="s">
        <v>92</v>
      </c>
      <c r="Y16" s="1">
        <v>155575</v>
      </c>
      <c r="Z16" t="s">
        <v>92</v>
      </c>
      <c r="AA16" t="s">
        <v>92</v>
      </c>
      <c r="AB16" t="s">
        <v>92</v>
      </c>
      <c r="AC16" s="1">
        <v>162531</v>
      </c>
      <c r="AD16" t="s">
        <v>92</v>
      </c>
      <c r="AE16" t="s">
        <v>92</v>
      </c>
      <c r="AF16" t="s">
        <v>92</v>
      </c>
      <c r="AG16" s="1">
        <v>167154</v>
      </c>
      <c r="AH16" t="s">
        <v>92</v>
      </c>
      <c r="AI16" t="s">
        <v>92</v>
      </c>
      <c r="AJ16" t="s">
        <v>92</v>
      </c>
      <c r="AK16" s="1">
        <v>164504</v>
      </c>
      <c r="AL16" t="s">
        <v>92</v>
      </c>
      <c r="AM16" t="s">
        <v>92</v>
      </c>
      <c r="AN16" t="s">
        <v>92</v>
      </c>
      <c r="AO16" s="1">
        <v>178136</v>
      </c>
      <c r="AP16" s="1">
        <v>170097</v>
      </c>
      <c r="AQ16" s="1">
        <v>178252</v>
      </c>
      <c r="AR16" s="1">
        <v>183091</v>
      </c>
      <c r="AS16" s="1">
        <v>186538</v>
      </c>
      <c r="AT16" s="1">
        <v>187920</v>
      </c>
      <c r="AU16" s="1">
        <v>193075</v>
      </c>
      <c r="AV16" s="1">
        <v>191060</v>
      </c>
      <c r="AW16" s="1">
        <v>189471</v>
      </c>
      <c r="AX16" s="1">
        <v>180304</v>
      </c>
      <c r="AY16" s="1">
        <v>167824</v>
      </c>
      <c r="AZ16" s="1">
        <v>167578</v>
      </c>
      <c r="BA16" s="1">
        <v>170031</v>
      </c>
      <c r="BB16" s="1">
        <v>172701</v>
      </c>
      <c r="BC16" s="1">
        <v>172643</v>
      </c>
      <c r="BD16" s="1">
        <v>167415</v>
      </c>
      <c r="BE16" s="1">
        <v>173931</v>
      </c>
      <c r="BF16" s="1">
        <v>177962</v>
      </c>
      <c r="BG16" t="s">
        <v>92</v>
      </c>
      <c r="BH16" t="s">
        <v>92</v>
      </c>
      <c r="BI16" t="s">
        <v>92</v>
      </c>
      <c r="BJ16" s="1">
        <v>2655</v>
      </c>
      <c r="BK16" t="s">
        <v>92</v>
      </c>
      <c r="BL16" t="s">
        <v>92</v>
      </c>
      <c r="BM16" t="s">
        <v>92</v>
      </c>
      <c r="BN16" s="1">
        <v>2665</v>
      </c>
      <c r="BO16" t="s">
        <v>92</v>
      </c>
      <c r="BP16" t="s">
        <v>92</v>
      </c>
      <c r="BQ16" t="s">
        <v>92</v>
      </c>
      <c r="BR16" s="1">
        <v>2678</v>
      </c>
      <c r="BS16" t="s">
        <v>92</v>
      </c>
      <c r="BT16" t="s">
        <v>92</v>
      </c>
      <c r="BU16" t="s">
        <v>92</v>
      </c>
      <c r="BV16" s="1">
        <v>2651</v>
      </c>
      <c r="BW16" t="s">
        <v>92</v>
      </c>
      <c r="BX16" t="s">
        <v>92</v>
      </c>
      <c r="BY16" t="s">
        <v>92</v>
      </c>
      <c r="BZ16" s="1">
        <v>2679</v>
      </c>
      <c r="CA16" t="s">
        <v>92</v>
      </c>
      <c r="CB16" t="s">
        <v>92</v>
      </c>
      <c r="CC16" t="s">
        <v>92</v>
      </c>
      <c r="CD16" s="1">
        <v>2979</v>
      </c>
      <c r="CE16" t="s">
        <v>92</v>
      </c>
      <c r="CF16" t="s">
        <v>92</v>
      </c>
      <c r="CG16" t="s">
        <v>92</v>
      </c>
      <c r="CH16" s="1">
        <v>3025</v>
      </c>
      <c r="CI16" t="s">
        <v>92</v>
      </c>
      <c r="CJ16" t="s">
        <v>92</v>
      </c>
      <c r="CK16" t="s">
        <v>92</v>
      </c>
      <c r="CL16" s="1">
        <v>3063</v>
      </c>
      <c r="CM16" t="s">
        <v>92</v>
      </c>
      <c r="CN16" t="s">
        <v>92</v>
      </c>
      <c r="CO16" t="s">
        <v>92</v>
      </c>
      <c r="CP16" s="1">
        <v>3445</v>
      </c>
      <c r="CQ16" t="s">
        <v>92</v>
      </c>
      <c r="CR16" t="s">
        <v>92</v>
      </c>
      <c r="CS16" t="s">
        <v>92</v>
      </c>
      <c r="CT16" s="1">
        <v>3672</v>
      </c>
      <c r="CU16" s="1">
        <v>3471</v>
      </c>
      <c r="CV16" s="1">
        <v>3233</v>
      </c>
      <c r="CW16" s="1">
        <v>3395</v>
      </c>
      <c r="CX16" s="1">
        <v>3252</v>
      </c>
      <c r="CY16" s="1">
        <v>2861</v>
      </c>
      <c r="CZ16" s="1">
        <v>2879</v>
      </c>
      <c r="DA16" s="1">
        <v>2752</v>
      </c>
      <c r="DB16" s="1">
        <v>2626</v>
      </c>
      <c r="DC16" s="1">
        <v>2771</v>
      </c>
      <c r="DD16" s="1">
        <v>2891</v>
      </c>
      <c r="DE16" s="1">
        <v>3051</v>
      </c>
      <c r="DF16" s="1">
        <v>3077</v>
      </c>
      <c r="DG16" s="1">
        <v>2922</v>
      </c>
      <c r="DH16" s="1">
        <v>3080</v>
      </c>
      <c r="DI16" s="1">
        <v>3180</v>
      </c>
      <c r="DJ16" s="1">
        <v>3148</v>
      </c>
      <c r="DK16" s="1">
        <v>3030</v>
      </c>
      <c r="DL16" t="s">
        <v>92</v>
      </c>
      <c r="DM16" t="s">
        <v>92</v>
      </c>
      <c r="DN16" t="s">
        <v>92</v>
      </c>
      <c r="DO16" s="1">
        <v>12515</v>
      </c>
      <c r="DP16" t="s">
        <v>92</v>
      </c>
      <c r="DQ16" t="s">
        <v>92</v>
      </c>
      <c r="DR16" t="s">
        <v>92</v>
      </c>
      <c r="DS16" s="1">
        <v>13065</v>
      </c>
      <c r="DT16" t="s">
        <v>92</v>
      </c>
      <c r="DU16" t="s">
        <v>92</v>
      </c>
      <c r="DV16" t="s">
        <v>92</v>
      </c>
      <c r="DW16" s="1">
        <v>14785</v>
      </c>
      <c r="DX16" t="s">
        <v>92</v>
      </c>
      <c r="DY16" t="s">
        <v>92</v>
      </c>
      <c r="DZ16" t="s">
        <v>92</v>
      </c>
      <c r="EA16" s="1">
        <v>16987</v>
      </c>
      <c r="EB16" t="s">
        <v>92</v>
      </c>
      <c r="EC16" t="s">
        <v>92</v>
      </c>
      <c r="ED16" t="s">
        <v>92</v>
      </c>
      <c r="EE16" s="1">
        <v>20221</v>
      </c>
      <c r="EF16" t="s">
        <v>92</v>
      </c>
      <c r="EG16" t="s">
        <v>92</v>
      </c>
      <c r="EH16" t="s">
        <v>92</v>
      </c>
      <c r="EI16" s="1">
        <v>22847</v>
      </c>
      <c r="EJ16" t="s">
        <v>92</v>
      </c>
      <c r="EK16" t="s">
        <v>92</v>
      </c>
      <c r="EL16" t="s">
        <v>92</v>
      </c>
      <c r="EM16" s="1">
        <v>26126</v>
      </c>
      <c r="EN16" t="s">
        <v>92</v>
      </c>
      <c r="EO16" t="s">
        <v>92</v>
      </c>
      <c r="EP16" t="s">
        <v>92</v>
      </c>
      <c r="EQ16" s="1">
        <v>27799</v>
      </c>
      <c r="ER16" t="s">
        <v>92</v>
      </c>
      <c r="ES16" t="s">
        <v>92</v>
      </c>
      <c r="ET16" t="s">
        <v>92</v>
      </c>
      <c r="EU16" s="1">
        <v>25446</v>
      </c>
      <c r="EV16" t="s">
        <v>92</v>
      </c>
      <c r="EW16" t="s">
        <v>92</v>
      </c>
      <c r="EX16" t="s">
        <v>92</v>
      </c>
      <c r="EY16" s="1">
        <v>25942</v>
      </c>
      <c r="EZ16" s="1">
        <v>24712</v>
      </c>
      <c r="FA16" s="1">
        <v>26082</v>
      </c>
      <c r="FB16" s="1">
        <v>27481</v>
      </c>
      <c r="FC16" s="1">
        <v>28922</v>
      </c>
      <c r="FD16" s="1">
        <v>30416</v>
      </c>
      <c r="FE16" s="1">
        <v>31728</v>
      </c>
      <c r="FF16" s="1">
        <v>33569</v>
      </c>
      <c r="FG16" s="1">
        <v>34161</v>
      </c>
      <c r="FH16" s="1">
        <v>33452</v>
      </c>
      <c r="FI16" s="1">
        <v>30975</v>
      </c>
      <c r="FJ16" s="1">
        <v>30491</v>
      </c>
      <c r="FK16" s="1">
        <v>30332</v>
      </c>
      <c r="FL16" s="1">
        <v>31658</v>
      </c>
      <c r="FM16" s="1">
        <v>31683</v>
      </c>
      <c r="FN16" s="1">
        <v>30608</v>
      </c>
      <c r="FO16" s="1">
        <v>30469</v>
      </c>
      <c r="FP16" s="1">
        <v>31963</v>
      </c>
      <c r="FQ16" t="s">
        <v>92</v>
      </c>
      <c r="FR16" t="s">
        <v>92</v>
      </c>
      <c r="FS16" t="s">
        <v>92</v>
      </c>
      <c r="FT16" s="1">
        <v>47708</v>
      </c>
      <c r="FU16" t="s">
        <v>92</v>
      </c>
      <c r="FV16" t="s">
        <v>92</v>
      </c>
      <c r="FW16" t="s">
        <v>92</v>
      </c>
      <c r="FX16" s="1">
        <v>51067</v>
      </c>
      <c r="FY16" t="s">
        <v>92</v>
      </c>
      <c r="FZ16" t="s">
        <v>92</v>
      </c>
      <c r="GA16" t="s">
        <v>92</v>
      </c>
      <c r="GB16" s="1">
        <v>55372</v>
      </c>
      <c r="GC16" t="s">
        <v>92</v>
      </c>
      <c r="GD16" t="s">
        <v>92</v>
      </c>
      <c r="GE16" t="s">
        <v>92</v>
      </c>
      <c r="GF16" s="1">
        <v>60720</v>
      </c>
      <c r="GG16" t="s">
        <v>92</v>
      </c>
      <c r="GH16" t="s">
        <v>92</v>
      </c>
      <c r="GI16" t="s">
        <v>92</v>
      </c>
      <c r="GJ16" s="1">
        <v>68570</v>
      </c>
      <c r="GK16" t="s">
        <v>92</v>
      </c>
      <c r="GL16" t="s">
        <v>92</v>
      </c>
      <c r="GM16" t="s">
        <v>92</v>
      </c>
      <c r="GN16" s="1">
        <v>76566</v>
      </c>
      <c r="GO16" t="s">
        <v>92</v>
      </c>
      <c r="GP16" t="s">
        <v>92</v>
      </c>
      <c r="GQ16" t="s">
        <v>92</v>
      </c>
      <c r="GR16" s="1">
        <v>83133</v>
      </c>
      <c r="GS16" t="s">
        <v>92</v>
      </c>
      <c r="GT16" t="s">
        <v>92</v>
      </c>
      <c r="GU16" t="s">
        <v>92</v>
      </c>
      <c r="GV16" s="1">
        <v>87214</v>
      </c>
      <c r="GW16" t="s">
        <v>92</v>
      </c>
      <c r="GX16" t="s">
        <v>92</v>
      </c>
      <c r="GY16" t="s">
        <v>92</v>
      </c>
      <c r="GZ16" s="1">
        <v>84335</v>
      </c>
      <c r="HA16" t="s">
        <v>92</v>
      </c>
      <c r="HB16" t="s">
        <v>92</v>
      </c>
      <c r="HC16" t="s">
        <v>92</v>
      </c>
      <c r="HD16" s="1">
        <v>91325</v>
      </c>
      <c r="HE16" s="1">
        <v>87809</v>
      </c>
      <c r="HF16" s="1">
        <v>91706</v>
      </c>
      <c r="HG16" s="1">
        <v>94276</v>
      </c>
      <c r="HH16" s="1">
        <v>95642</v>
      </c>
      <c r="HI16" s="1">
        <v>99136</v>
      </c>
      <c r="HJ16" s="1">
        <v>102682</v>
      </c>
      <c r="HK16" s="1">
        <v>104047</v>
      </c>
      <c r="HL16" s="1">
        <v>104724</v>
      </c>
      <c r="HM16" s="1">
        <v>103386</v>
      </c>
      <c r="HN16" s="1">
        <v>97378</v>
      </c>
      <c r="HO16" s="1">
        <v>95660</v>
      </c>
      <c r="HP16" s="1">
        <v>96761</v>
      </c>
      <c r="HQ16" s="1">
        <v>98229</v>
      </c>
      <c r="HR16" s="1">
        <v>98742</v>
      </c>
      <c r="HS16" s="1">
        <v>96228</v>
      </c>
      <c r="HT16" s="1">
        <v>99003</v>
      </c>
      <c r="HU16" s="1">
        <v>100777</v>
      </c>
      <c r="HV16" t="s">
        <v>92</v>
      </c>
      <c r="HW16" t="s">
        <v>92</v>
      </c>
      <c r="HX16" t="s">
        <v>92</v>
      </c>
      <c r="HY16" s="1">
        <v>148070</v>
      </c>
      <c r="HZ16" t="s">
        <v>92</v>
      </c>
      <c r="IA16" t="s">
        <v>92</v>
      </c>
      <c r="IB16" t="s">
        <v>92</v>
      </c>
      <c r="IC16" s="1">
        <v>158053</v>
      </c>
      <c r="ID16" t="s">
        <v>92</v>
      </c>
      <c r="IE16" t="s">
        <v>92</v>
      </c>
      <c r="IF16" t="s">
        <v>92</v>
      </c>
      <c r="IG16" s="1">
        <v>170107</v>
      </c>
      <c r="IH16" t="s">
        <v>92</v>
      </c>
      <c r="II16" t="s">
        <v>92</v>
      </c>
      <c r="IJ16" t="s">
        <v>92</v>
      </c>
      <c r="IK16" s="1">
        <v>177861</v>
      </c>
      <c r="IL16" t="s">
        <v>92</v>
      </c>
      <c r="IM16" t="s">
        <v>92</v>
      </c>
      <c r="IN16" t="s">
        <v>92</v>
      </c>
      <c r="IO16" s="1">
        <v>194293</v>
      </c>
      <c r="IP16" t="s">
        <v>92</v>
      </c>
      <c r="IQ16" t="s">
        <v>92</v>
      </c>
      <c r="IR16" t="s">
        <v>92</v>
      </c>
      <c r="IS16" s="1">
        <v>203744</v>
      </c>
      <c r="IT16" t="s">
        <v>92</v>
      </c>
      <c r="IU16" t="s">
        <v>92</v>
      </c>
      <c r="IV16" t="s">
        <v>92</v>
      </c>
      <c r="IW16" s="1">
        <v>217488</v>
      </c>
      <c r="IX16" t="s">
        <v>92</v>
      </c>
      <c r="IY16" t="s">
        <v>92</v>
      </c>
      <c r="IZ16" t="s">
        <v>92</v>
      </c>
      <c r="JA16" s="1">
        <v>225563</v>
      </c>
      <c r="JB16" t="s">
        <v>92</v>
      </c>
      <c r="JC16" t="s">
        <v>92</v>
      </c>
      <c r="JD16" t="s">
        <v>92</v>
      </c>
      <c r="JE16" s="1">
        <v>220511</v>
      </c>
      <c r="JF16" t="s">
        <v>92</v>
      </c>
      <c r="JG16" t="s">
        <v>92</v>
      </c>
      <c r="JH16" t="s">
        <v>92</v>
      </c>
      <c r="JI16" s="1">
        <v>237268</v>
      </c>
      <c r="JJ16" s="1">
        <v>224306</v>
      </c>
      <c r="JK16" s="1">
        <v>235790</v>
      </c>
      <c r="JL16" s="1">
        <v>242979</v>
      </c>
      <c r="JM16" s="1">
        <v>248865</v>
      </c>
      <c r="JN16" s="1">
        <v>253599</v>
      </c>
      <c r="JO16" s="1">
        <v>261193</v>
      </c>
      <c r="JP16" s="1">
        <v>258794</v>
      </c>
      <c r="JQ16" s="1">
        <v>258200</v>
      </c>
      <c r="JR16" s="1">
        <v>247494</v>
      </c>
      <c r="JS16" s="1">
        <v>230830</v>
      </c>
      <c r="JT16" s="1">
        <v>230869</v>
      </c>
      <c r="JU16" s="1">
        <v>232411</v>
      </c>
      <c r="JV16" s="1">
        <v>237756</v>
      </c>
      <c r="JW16" s="1">
        <v>238416</v>
      </c>
      <c r="JX16" s="1">
        <v>230937</v>
      </c>
      <c r="JY16" s="1">
        <v>238243</v>
      </c>
      <c r="JZ16" s="1">
        <v>243281</v>
      </c>
      <c r="KA16" t="s">
        <v>92</v>
      </c>
      <c r="KB16" t="s">
        <v>92</v>
      </c>
      <c r="KC16" t="s">
        <v>92</v>
      </c>
      <c r="KD16" s="1">
        <v>378917</v>
      </c>
      <c r="KE16" t="s">
        <v>92</v>
      </c>
      <c r="KF16" t="s">
        <v>92</v>
      </c>
      <c r="KG16" t="s">
        <v>92</v>
      </c>
      <c r="KH16" s="1">
        <v>409012</v>
      </c>
      <c r="KI16" t="s">
        <v>92</v>
      </c>
      <c r="KJ16" t="s">
        <v>92</v>
      </c>
      <c r="KK16" t="s">
        <v>92</v>
      </c>
      <c r="KL16" s="1">
        <v>434180</v>
      </c>
      <c r="KM16" t="s">
        <v>92</v>
      </c>
      <c r="KN16" t="s">
        <v>92</v>
      </c>
      <c r="KO16" t="s">
        <v>92</v>
      </c>
      <c r="KP16" s="1">
        <v>440558</v>
      </c>
      <c r="KQ16" t="s">
        <v>92</v>
      </c>
      <c r="KR16" t="s">
        <v>92</v>
      </c>
      <c r="KS16" t="s">
        <v>92</v>
      </c>
      <c r="KT16" s="1">
        <v>470583</v>
      </c>
      <c r="KU16" t="s">
        <v>92</v>
      </c>
      <c r="KV16" t="s">
        <v>92</v>
      </c>
      <c r="KW16" t="s">
        <v>92</v>
      </c>
      <c r="KX16" s="1">
        <v>471741</v>
      </c>
      <c r="KY16" t="s">
        <v>92</v>
      </c>
      <c r="KZ16" t="s">
        <v>92</v>
      </c>
      <c r="LA16" t="s">
        <v>92</v>
      </c>
      <c r="LB16" s="1">
        <v>482883</v>
      </c>
      <c r="LC16" t="s">
        <v>92</v>
      </c>
      <c r="LD16" t="s">
        <v>92</v>
      </c>
      <c r="LE16" t="s">
        <v>92</v>
      </c>
      <c r="LF16" s="1">
        <v>492132</v>
      </c>
      <c r="LG16" t="s">
        <v>92</v>
      </c>
      <c r="LH16" t="s">
        <v>92</v>
      </c>
      <c r="LI16" t="s">
        <v>92</v>
      </c>
      <c r="LJ16" s="1">
        <v>488780</v>
      </c>
      <c r="LK16" t="s">
        <v>92</v>
      </c>
      <c r="LL16" t="s">
        <v>92</v>
      </c>
      <c r="LM16" t="s">
        <v>92</v>
      </c>
      <c r="LN16" s="1">
        <v>532472</v>
      </c>
      <c r="LO16" s="1">
        <v>510185</v>
      </c>
      <c r="LP16" s="1">
        <v>534451</v>
      </c>
      <c r="LQ16" s="1">
        <v>547324</v>
      </c>
      <c r="LR16" s="1">
        <v>556007</v>
      </c>
      <c r="LS16" s="1">
        <v>553590</v>
      </c>
      <c r="LT16" s="1">
        <v>566895</v>
      </c>
      <c r="LU16" s="1">
        <v>556139</v>
      </c>
      <c r="LV16" s="1">
        <v>547644</v>
      </c>
      <c r="LW16" s="1">
        <v>514418</v>
      </c>
      <c r="LX16" s="1">
        <v>477044</v>
      </c>
      <c r="LY16" s="1">
        <v>477817</v>
      </c>
      <c r="LZ16" s="1">
        <v>487577</v>
      </c>
      <c r="MA16" s="1">
        <v>492941</v>
      </c>
      <c r="MB16" s="1">
        <v>491294</v>
      </c>
      <c r="MC16" s="1">
        <v>476125</v>
      </c>
      <c r="MD16" s="1">
        <v>498793</v>
      </c>
      <c r="ME16" s="1">
        <v>510759</v>
      </c>
    </row>
    <row r="17" spans="1:343" x14ac:dyDescent="0.25">
      <c r="A17" t="s">
        <v>340</v>
      </c>
      <c r="B17" t="s">
        <v>92</v>
      </c>
      <c r="C17" t="s">
        <v>92</v>
      </c>
      <c r="D17" t="s">
        <v>92</v>
      </c>
      <c r="E17" s="1">
        <v>215500</v>
      </c>
      <c r="F17" t="s">
        <v>92</v>
      </c>
      <c r="G17" t="s">
        <v>92</v>
      </c>
      <c r="H17" t="s">
        <v>92</v>
      </c>
      <c r="I17" s="1">
        <v>210077</v>
      </c>
      <c r="J17" t="s">
        <v>92</v>
      </c>
      <c r="K17" t="s">
        <v>92</v>
      </c>
      <c r="L17" t="s">
        <v>92</v>
      </c>
      <c r="M17" s="1">
        <v>222208</v>
      </c>
      <c r="N17" t="s">
        <v>92</v>
      </c>
      <c r="O17" t="s">
        <v>92</v>
      </c>
      <c r="P17" t="s">
        <v>92</v>
      </c>
      <c r="Q17" s="1">
        <v>238766</v>
      </c>
      <c r="R17" t="s">
        <v>92</v>
      </c>
      <c r="S17" t="s">
        <v>92</v>
      </c>
      <c r="T17" t="s">
        <v>92</v>
      </c>
      <c r="U17" s="1">
        <v>258202</v>
      </c>
      <c r="V17" t="s">
        <v>92</v>
      </c>
      <c r="W17" t="s">
        <v>92</v>
      </c>
      <c r="X17" t="s">
        <v>92</v>
      </c>
      <c r="Y17" s="1">
        <v>271150</v>
      </c>
      <c r="Z17" t="s">
        <v>92</v>
      </c>
      <c r="AA17" t="s">
        <v>92</v>
      </c>
      <c r="AB17" t="s">
        <v>92</v>
      </c>
      <c r="AC17" s="1">
        <v>291340</v>
      </c>
      <c r="AD17" t="s">
        <v>92</v>
      </c>
      <c r="AE17" t="s">
        <v>92</v>
      </c>
      <c r="AF17" t="s">
        <v>92</v>
      </c>
      <c r="AG17" s="1">
        <v>307294</v>
      </c>
      <c r="AH17" t="s">
        <v>92</v>
      </c>
      <c r="AI17" t="s">
        <v>92</v>
      </c>
      <c r="AJ17" t="s">
        <v>92</v>
      </c>
      <c r="AK17" s="1">
        <v>307178</v>
      </c>
      <c r="AL17" t="s">
        <v>92</v>
      </c>
      <c r="AM17" t="s">
        <v>92</v>
      </c>
      <c r="AN17" t="s">
        <v>92</v>
      </c>
      <c r="AO17" s="1">
        <v>331151</v>
      </c>
      <c r="AP17" s="1">
        <v>305913</v>
      </c>
      <c r="AQ17" s="1">
        <v>328809</v>
      </c>
      <c r="AR17" s="1">
        <v>346019</v>
      </c>
      <c r="AS17" s="1">
        <v>358395</v>
      </c>
      <c r="AT17" s="1">
        <v>377305</v>
      </c>
      <c r="AU17" s="1">
        <v>395045</v>
      </c>
      <c r="AV17" s="1">
        <v>401025</v>
      </c>
      <c r="AW17" s="1">
        <v>401514</v>
      </c>
      <c r="AX17" s="1">
        <v>393949</v>
      </c>
      <c r="AY17" s="1">
        <v>376798</v>
      </c>
      <c r="AZ17" s="1">
        <v>375374</v>
      </c>
      <c r="BA17" s="1">
        <v>386320</v>
      </c>
      <c r="BB17" s="1">
        <v>395051</v>
      </c>
      <c r="BC17" s="1">
        <v>398916</v>
      </c>
      <c r="BD17" s="1">
        <v>390823</v>
      </c>
      <c r="BE17" s="1">
        <v>404452</v>
      </c>
      <c r="BF17" s="1">
        <v>419810</v>
      </c>
      <c r="BG17" t="s">
        <v>92</v>
      </c>
      <c r="BH17" t="s">
        <v>92</v>
      </c>
      <c r="BI17" t="s">
        <v>92</v>
      </c>
      <c r="BJ17" s="1">
        <v>5389</v>
      </c>
      <c r="BK17" t="s">
        <v>92</v>
      </c>
      <c r="BL17" t="s">
        <v>92</v>
      </c>
      <c r="BM17" t="s">
        <v>92</v>
      </c>
      <c r="BN17" s="1">
        <v>5275</v>
      </c>
      <c r="BO17" t="s">
        <v>92</v>
      </c>
      <c r="BP17" t="s">
        <v>92</v>
      </c>
      <c r="BQ17" t="s">
        <v>92</v>
      </c>
      <c r="BR17" s="1">
        <v>5463</v>
      </c>
      <c r="BS17" t="s">
        <v>92</v>
      </c>
      <c r="BT17" t="s">
        <v>92</v>
      </c>
      <c r="BU17" t="s">
        <v>92</v>
      </c>
      <c r="BV17" s="1">
        <v>5903</v>
      </c>
      <c r="BW17" t="s">
        <v>92</v>
      </c>
      <c r="BX17" t="s">
        <v>92</v>
      </c>
      <c r="BY17" t="s">
        <v>92</v>
      </c>
      <c r="BZ17" s="1">
        <v>6430</v>
      </c>
      <c r="CA17" t="s">
        <v>92</v>
      </c>
      <c r="CB17" t="s">
        <v>92</v>
      </c>
      <c r="CC17" t="s">
        <v>92</v>
      </c>
      <c r="CD17" s="1">
        <v>7026</v>
      </c>
      <c r="CE17" t="s">
        <v>92</v>
      </c>
      <c r="CF17" t="s">
        <v>92</v>
      </c>
      <c r="CG17" t="s">
        <v>92</v>
      </c>
      <c r="CH17" s="1">
        <v>7704</v>
      </c>
      <c r="CI17" t="s">
        <v>92</v>
      </c>
      <c r="CJ17" t="s">
        <v>92</v>
      </c>
      <c r="CK17" t="s">
        <v>92</v>
      </c>
      <c r="CL17" s="1">
        <v>8145</v>
      </c>
      <c r="CM17" t="s">
        <v>92</v>
      </c>
      <c r="CN17" t="s">
        <v>92</v>
      </c>
      <c r="CO17" t="s">
        <v>92</v>
      </c>
      <c r="CP17" s="1">
        <v>8150</v>
      </c>
      <c r="CQ17" t="s">
        <v>92</v>
      </c>
      <c r="CR17" t="s">
        <v>92</v>
      </c>
      <c r="CS17" t="s">
        <v>92</v>
      </c>
      <c r="CT17" s="1">
        <v>8361</v>
      </c>
      <c r="CU17" s="1">
        <v>7600</v>
      </c>
      <c r="CV17" s="1">
        <v>7618</v>
      </c>
      <c r="CW17" s="1">
        <v>7915</v>
      </c>
      <c r="CX17" s="1">
        <v>7964</v>
      </c>
      <c r="CY17" s="1">
        <v>8236</v>
      </c>
      <c r="CZ17" s="1">
        <v>8532</v>
      </c>
      <c r="DA17" s="1">
        <v>8150</v>
      </c>
      <c r="DB17" s="1">
        <v>8244</v>
      </c>
      <c r="DC17" s="1">
        <v>8072</v>
      </c>
      <c r="DD17" s="1">
        <v>7775</v>
      </c>
      <c r="DE17" s="1">
        <v>8215</v>
      </c>
      <c r="DF17" s="1">
        <v>8357</v>
      </c>
      <c r="DG17" s="1">
        <v>8544</v>
      </c>
      <c r="DH17" s="1">
        <v>8596</v>
      </c>
      <c r="DI17" s="1">
        <v>8383</v>
      </c>
      <c r="DJ17" s="1">
        <v>8657</v>
      </c>
      <c r="DK17" s="1">
        <v>8944</v>
      </c>
      <c r="DL17" t="s">
        <v>92</v>
      </c>
      <c r="DM17" t="s">
        <v>92</v>
      </c>
      <c r="DN17" t="s">
        <v>92</v>
      </c>
      <c r="DO17" s="1">
        <v>21089</v>
      </c>
      <c r="DP17" t="s">
        <v>92</v>
      </c>
      <c r="DQ17" t="s">
        <v>92</v>
      </c>
      <c r="DR17" t="s">
        <v>92</v>
      </c>
      <c r="DS17" s="1">
        <v>21362</v>
      </c>
      <c r="DT17" t="s">
        <v>92</v>
      </c>
      <c r="DU17" t="s">
        <v>92</v>
      </c>
      <c r="DV17" t="s">
        <v>92</v>
      </c>
      <c r="DW17" s="1">
        <v>22996</v>
      </c>
      <c r="DX17" t="s">
        <v>92</v>
      </c>
      <c r="DY17" t="s">
        <v>92</v>
      </c>
      <c r="DZ17" t="s">
        <v>92</v>
      </c>
      <c r="EA17" s="1">
        <v>25196</v>
      </c>
      <c r="EB17" t="s">
        <v>92</v>
      </c>
      <c r="EC17" t="s">
        <v>92</v>
      </c>
      <c r="ED17" t="s">
        <v>92</v>
      </c>
      <c r="EE17" s="1">
        <v>27436</v>
      </c>
      <c r="EF17" t="s">
        <v>92</v>
      </c>
      <c r="EG17" t="s">
        <v>92</v>
      </c>
      <c r="EH17" t="s">
        <v>92</v>
      </c>
      <c r="EI17" s="1">
        <v>29795</v>
      </c>
      <c r="EJ17" t="s">
        <v>92</v>
      </c>
      <c r="EK17" t="s">
        <v>92</v>
      </c>
      <c r="EL17" t="s">
        <v>92</v>
      </c>
      <c r="EM17" s="1">
        <v>31843</v>
      </c>
      <c r="EN17" t="s">
        <v>92</v>
      </c>
      <c r="EO17" t="s">
        <v>92</v>
      </c>
      <c r="EP17" t="s">
        <v>92</v>
      </c>
      <c r="EQ17" s="1">
        <v>33595</v>
      </c>
      <c r="ER17" t="s">
        <v>92</v>
      </c>
      <c r="ES17" t="s">
        <v>92</v>
      </c>
      <c r="ET17" t="s">
        <v>92</v>
      </c>
      <c r="EU17" s="1">
        <v>36628</v>
      </c>
      <c r="EV17" t="s">
        <v>92</v>
      </c>
      <c r="EW17" t="s">
        <v>92</v>
      </c>
      <c r="EX17" t="s">
        <v>92</v>
      </c>
      <c r="EY17" s="1">
        <v>42398</v>
      </c>
      <c r="EZ17" s="1">
        <v>40493</v>
      </c>
      <c r="FA17" s="1">
        <v>43450</v>
      </c>
      <c r="FB17" s="1">
        <v>45277</v>
      </c>
      <c r="FC17" s="1">
        <v>46580</v>
      </c>
      <c r="FD17" s="1">
        <v>49294</v>
      </c>
      <c r="FE17" s="1">
        <v>51868</v>
      </c>
      <c r="FF17" s="1">
        <v>53646</v>
      </c>
      <c r="FG17" s="1">
        <v>54544</v>
      </c>
      <c r="FH17" s="1">
        <v>54098</v>
      </c>
      <c r="FI17" s="1">
        <v>51249</v>
      </c>
      <c r="FJ17" s="1">
        <v>49564</v>
      </c>
      <c r="FK17" s="1">
        <v>50390</v>
      </c>
      <c r="FL17" s="1">
        <v>51274</v>
      </c>
      <c r="FM17" s="1">
        <v>51653</v>
      </c>
      <c r="FN17" s="1">
        <v>50725</v>
      </c>
      <c r="FO17" s="1">
        <v>51876</v>
      </c>
      <c r="FP17" s="1">
        <v>53313</v>
      </c>
      <c r="FQ17" t="s">
        <v>92</v>
      </c>
      <c r="FR17" t="s">
        <v>92</v>
      </c>
      <c r="FS17" t="s">
        <v>92</v>
      </c>
      <c r="FT17" s="1">
        <v>65540</v>
      </c>
      <c r="FU17" t="s">
        <v>92</v>
      </c>
      <c r="FV17" t="s">
        <v>92</v>
      </c>
      <c r="FW17" t="s">
        <v>92</v>
      </c>
      <c r="FX17" s="1">
        <v>66147</v>
      </c>
      <c r="FY17" t="s">
        <v>92</v>
      </c>
      <c r="FZ17" t="s">
        <v>92</v>
      </c>
      <c r="GA17" t="s">
        <v>92</v>
      </c>
      <c r="GB17" s="1">
        <v>70461</v>
      </c>
      <c r="GC17" t="s">
        <v>92</v>
      </c>
      <c r="GD17" t="s">
        <v>92</v>
      </c>
      <c r="GE17" t="s">
        <v>92</v>
      </c>
      <c r="GF17" s="1">
        <v>75803</v>
      </c>
      <c r="GG17" t="s">
        <v>92</v>
      </c>
      <c r="GH17" t="s">
        <v>92</v>
      </c>
      <c r="GI17" t="s">
        <v>92</v>
      </c>
      <c r="GJ17" s="1">
        <v>82366</v>
      </c>
      <c r="GK17" t="s">
        <v>92</v>
      </c>
      <c r="GL17" t="s">
        <v>92</v>
      </c>
      <c r="GM17" t="s">
        <v>92</v>
      </c>
      <c r="GN17" s="1">
        <v>87437</v>
      </c>
      <c r="GO17" t="s">
        <v>92</v>
      </c>
      <c r="GP17" t="s">
        <v>92</v>
      </c>
      <c r="GQ17" t="s">
        <v>92</v>
      </c>
      <c r="GR17" s="1">
        <v>94853</v>
      </c>
      <c r="GS17" t="s">
        <v>92</v>
      </c>
      <c r="GT17" t="s">
        <v>92</v>
      </c>
      <c r="GU17" t="s">
        <v>92</v>
      </c>
      <c r="GV17" s="1">
        <v>100265</v>
      </c>
      <c r="GW17" t="s">
        <v>92</v>
      </c>
      <c r="GX17" t="s">
        <v>92</v>
      </c>
      <c r="GY17" t="s">
        <v>92</v>
      </c>
      <c r="GZ17" s="1">
        <v>99934</v>
      </c>
      <c r="HA17" t="s">
        <v>92</v>
      </c>
      <c r="HB17" t="s">
        <v>92</v>
      </c>
      <c r="HC17" t="s">
        <v>92</v>
      </c>
      <c r="HD17" s="1">
        <v>108509</v>
      </c>
      <c r="HE17" s="1">
        <v>101161</v>
      </c>
      <c r="HF17" s="1">
        <v>106717</v>
      </c>
      <c r="HG17" s="1">
        <v>112232</v>
      </c>
      <c r="HH17" s="1">
        <v>117319</v>
      </c>
      <c r="HI17" s="1">
        <v>124622</v>
      </c>
      <c r="HJ17" s="1">
        <v>129022</v>
      </c>
      <c r="HK17" s="1">
        <v>131205</v>
      </c>
      <c r="HL17" s="1">
        <v>131763</v>
      </c>
      <c r="HM17" s="1">
        <v>129129</v>
      </c>
      <c r="HN17" s="1">
        <v>124017</v>
      </c>
      <c r="HO17" s="1">
        <v>123569</v>
      </c>
      <c r="HP17" s="1">
        <v>124471</v>
      </c>
      <c r="HQ17" s="1">
        <v>126839</v>
      </c>
      <c r="HR17" s="1">
        <v>127868</v>
      </c>
      <c r="HS17" s="1">
        <v>125978</v>
      </c>
      <c r="HT17" s="1">
        <v>128453</v>
      </c>
      <c r="HU17" s="1">
        <v>132981</v>
      </c>
      <c r="HV17" t="s">
        <v>92</v>
      </c>
      <c r="HW17" t="s">
        <v>92</v>
      </c>
      <c r="HX17" t="s">
        <v>92</v>
      </c>
      <c r="HY17" s="1">
        <v>158197</v>
      </c>
      <c r="HZ17" t="s">
        <v>92</v>
      </c>
      <c r="IA17" t="s">
        <v>92</v>
      </c>
      <c r="IB17" t="s">
        <v>92</v>
      </c>
      <c r="IC17" s="1">
        <v>154883</v>
      </c>
      <c r="ID17" t="s">
        <v>92</v>
      </c>
      <c r="IE17" t="s">
        <v>92</v>
      </c>
      <c r="IF17" t="s">
        <v>92</v>
      </c>
      <c r="IG17" s="1">
        <v>163690</v>
      </c>
      <c r="IH17" t="s">
        <v>92</v>
      </c>
      <c r="II17" t="s">
        <v>92</v>
      </c>
      <c r="IJ17" t="s">
        <v>92</v>
      </c>
      <c r="IK17" s="1">
        <v>176958</v>
      </c>
      <c r="IL17" t="s">
        <v>92</v>
      </c>
      <c r="IM17" t="s">
        <v>92</v>
      </c>
      <c r="IN17" t="s">
        <v>92</v>
      </c>
      <c r="IO17" s="1">
        <v>192012</v>
      </c>
      <c r="IP17" t="s">
        <v>92</v>
      </c>
      <c r="IQ17" t="s">
        <v>92</v>
      </c>
      <c r="IR17" t="s">
        <v>92</v>
      </c>
      <c r="IS17" s="1">
        <v>200677</v>
      </c>
      <c r="IT17" t="s">
        <v>92</v>
      </c>
      <c r="IU17" t="s">
        <v>92</v>
      </c>
      <c r="IV17" t="s">
        <v>92</v>
      </c>
      <c r="IW17" s="1">
        <v>214889</v>
      </c>
      <c r="IX17" t="s">
        <v>92</v>
      </c>
      <c r="IY17" t="s">
        <v>92</v>
      </c>
      <c r="IZ17" t="s">
        <v>92</v>
      </c>
      <c r="JA17" s="1">
        <v>226523</v>
      </c>
      <c r="JB17" t="s">
        <v>92</v>
      </c>
      <c r="JC17" t="s">
        <v>92</v>
      </c>
      <c r="JD17" t="s">
        <v>92</v>
      </c>
      <c r="JE17" s="1">
        <v>215204</v>
      </c>
      <c r="JF17" t="s">
        <v>92</v>
      </c>
      <c r="JG17" t="s">
        <v>92</v>
      </c>
      <c r="JH17" t="s">
        <v>92</v>
      </c>
      <c r="JI17" s="1">
        <v>223475</v>
      </c>
      <c r="JJ17" s="1">
        <v>203881</v>
      </c>
      <c r="JK17" s="1">
        <v>219666</v>
      </c>
      <c r="JL17" s="1">
        <v>229460</v>
      </c>
      <c r="JM17" s="1">
        <v>236878</v>
      </c>
      <c r="JN17" s="1">
        <v>248923</v>
      </c>
      <c r="JO17" s="1">
        <v>260518</v>
      </c>
      <c r="JP17" s="1">
        <v>265321</v>
      </c>
      <c r="JQ17" s="1">
        <v>265905</v>
      </c>
      <c r="JR17" s="1">
        <v>263190</v>
      </c>
      <c r="JS17" s="1">
        <v>248511</v>
      </c>
      <c r="JT17" s="1">
        <v>245293</v>
      </c>
      <c r="JU17" s="1">
        <v>253881</v>
      </c>
      <c r="JV17" s="1">
        <v>259386</v>
      </c>
      <c r="JW17" s="1">
        <v>262199</v>
      </c>
      <c r="JX17" s="1">
        <v>256322</v>
      </c>
      <c r="JY17" s="1">
        <v>264955</v>
      </c>
      <c r="JZ17" s="1">
        <v>274716</v>
      </c>
      <c r="KA17" t="s">
        <v>92</v>
      </c>
      <c r="KB17" t="s">
        <v>92</v>
      </c>
      <c r="KC17" t="s">
        <v>92</v>
      </c>
      <c r="KD17" s="1">
        <v>827287</v>
      </c>
      <c r="KE17" t="s">
        <v>92</v>
      </c>
      <c r="KF17" t="s">
        <v>92</v>
      </c>
      <c r="KG17" t="s">
        <v>92</v>
      </c>
      <c r="KH17" s="1">
        <v>802719</v>
      </c>
      <c r="KI17" t="s">
        <v>92</v>
      </c>
      <c r="KJ17" t="s">
        <v>92</v>
      </c>
      <c r="KK17" t="s">
        <v>92</v>
      </c>
      <c r="KL17" s="1">
        <v>848428</v>
      </c>
      <c r="KM17" t="s">
        <v>92</v>
      </c>
      <c r="KN17" t="s">
        <v>92</v>
      </c>
      <c r="KO17" t="s">
        <v>92</v>
      </c>
      <c r="KP17" s="1">
        <v>909970</v>
      </c>
      <c r="KQ17" t="s">
        <v>92</v>
      </c>
      <c r="KR17" t="s">
        <v>92</v>
      </c>
      <c r="KS17" t="s">
        <v>92</v>
      </c>
      <c r="KT17" s="1">
        <v>982767</v>
      </c>
      <c r="KU17" t="s">
        <v>92</v>
      </c>
      <c r="KV17" t="s">
        <v>92</v>
      </c>
      <c r="KW17" t="s">
        <v>92</v>
      </c>
      <c r="KX17" s="1">
        <v>1030814</v>
      </c>
      <c r="KY17" t="s">
        <v>92</v>
      </c>
      <c r="KZ17" t="s">
        <v>92</v>
      </c>
      <c r="LA17" t="s">
        <v>92</v>
      </c>
      <c r="LB17" s="1">
        <v>1107411</v>
      </c>
      <c r="LC17" t="s">
        <v>92</v>
      </c>
      <c r="LD17" t="s">
        <v>92</v>
      </c>
      <c r="LE17" t="s">
        <v>92</v>
      </c>
      <c r="LF17" s="1">
        <v>1167940</v>
      </c>
      <c r="LG17" t="s">
        <v>92</v>
      </c>
      <c r="LH17" t="s">
        <v>92</v>
      </c>
      <c r="LI17" t="s">
        <v>92</v>
      </c>
      <c r="LJ17" s="1">
        <v>1175974</v>
      </c>
      <c r="LK17" t="s">
        <v>92</v>
      </c>
      <c r="LL17" t="s">
        <v>92</v>
      </c>
      <c r="LM17" t="s">
        <v>92</v>
      </c>
      <c r="LN17" s="1">
        <v>1273012</v>
      </c>
      <c r="LO17" s="1">
        <v>1176430</v>
      </c>
      <c r="LP17" s="1">
        <v>1266592</v>
      </c>
      <c r="LQ17" s="1">
        <v>1335211</v>
      </c>
      <c r="LR17" s="1">
        <v>1383231</v>
      </c>
      <c r="LS17" s="1">
        <v>1455448</v>
      </c>
      <c r="LT17" s="1">
        <v>1525285</v>
      </c>
      <c r="LU17" s="1">
        <v>1546802</v>
      </c>
      <c r="LV17" s="1">
        <v>1547114</v>
      </c>
      <c r="LW17" s="1">
        <v>1515257</v>
      </c>
      <c r="LX17" s="1">
        <v>1452436</v>
      </c>
      <c r="LY17" s="1">
        <v>1450229</v>
      </c>
      <c r="LZ17" s="1">
        <v>1494503</v>
      </c>
      <c r="MA17" s="1">
        <v>1529211</v>
      </c>
      <c r="MB17" s="1">
        <v>1544265</v>
      </c>
      <c r="MC17" s="1">
        <v>1512709</v>
      </c>
      <c r="MD17" s="1">
        <v>1568318</v>
      </c>
      <c r="ME17" s="1">
        <v>1629093</v>
      </c>
    </row>
    <row r="18" spans="1:343" x14ac:dyDescent="0.25">
      <c r="A18" t="s">
        <v>341</v>
      </c>
      <c r="B18" t="s">
        <v>92</v>
      </c>
      <c r="C18" t="s">
        <v>92</v>
      </c>
      <c r="D18" t="s">
        <v>92</v>
      </c>
      <c r="E18" s="1">
        <v>288854</v>
      </c>
      <c r="F18" t="s">
        <v>92</v>
      </c>
      <c r="G18" t="s">
        <v>92</v>
      </c>
      <c r="H18" t="s">
        <v>92</v>
      </c>
      <c r="I18" s="1">
        <v>305139</v>
      </c>
      <c r="J18" t="s">
        <v>92</v>
      </c>
      <c r="K18" t="s">
        <v>92</v>
      </c>
      <c r="L18" t="s">
        <v>92</v>
      </c>
      <c r="M18" s="1">
        <v>323469</v>
      </c>
      <c r="N18" t="s">
        <v>92</v>
      </c>
      <c r="O18" t="s">
        <v>92</v>
      </c>
      <c r="P18" t="s">
        <v>92</v>
      </c>
      <c r="Q18" s="1">
        <v>340083</v>
      </c>
      <c r="R18" t="s">
        <v>92</v>
      </c>
      <c r="S18" t="s">
        <v>92</v>
      </c>
      <c r="T18" t="s">
        <v>92</v>
      </c>
      <c r="U18" s="1">
        <v>354681</v>
      </c>
      <c r="V18" t="s">
        <v>92</v>
      </c>
      <c r="W18" t="s">
        <v>92</v>
      </c>
      <c r="X18" t="s">
        <v>92</v>
      </c>
      <c r="Y18" s="1">
        <v>377117</v>
      </c>
      <c r="Z18" t="s">
        <v>92</v>
      </c>
      <c r="AA18" t="s">
        <v>92</v>
      </c>
      <c r="AB18" t="s">
        <v>92</v>
      </c>
      <c r="AC18" s="1">
        <v>404115</v>
      </c>
      <c r="AD18" t="s">
        <v>92</v>
      </c>
      <c r="AE18" t="s">
        <v>92</v>
      </c>
      <c r="AF18" t="s">
        <v>92</v>
      </c>
      <c r="AG18" s="1">
        <v>419085</v>
      </c>
      <c r="AH18" t="s">
        <v>92</v>
      </c>
      <c r="AI18" t="s">
        <v>92</v>
      </c>
      <c r="AJ18" t="s">
        <v>92</v>
      </c>
      <c r="AK18" s="1">
        <v>416228</v>
      </c>
      <c r="AL18" t="s">
        <v>92</v>
      </c>
      <c r="AM18" t="s">
        <v>92</v>
      </c>
      <c r="AN18" t="s">
        <v>92</v>
      </c>
      <c r="AO18" s="1">
        <v>433702</v>
      </c>
      <c r="AP18" s="1">
        <v>438040</v>
      </c>
      <c r="AQ18" s="1">
        <v>455177</v>
      </c>
      <c r="AR18" s="1">
        <v>477229</v>
      </c>
      <c r="AS18" s="1">
        <v>499643</v>
      </c>
      <c r="AT18" s="1">
        <v>544984</v>
      </c>
      <c r="AU18" s="1">
        <v>568631</v>
      </c>
      <c r="AV18" s="1">
        <v>603820</v>
      </c>
      <c r="AW18" s="1">
        <v>620609</v>
      </c>
      <c r="AX18" s="1">
        <v>640285</v>
      </c>
      <c r="AY18" s="1">
        <v>611570</v>
      </c>
      <c r="AZ18" s="1">
        <v>588023</v>
      </c>
      <c r="BA18" s="1">
        <v>578469</v>
      </c>
      <c r="BB18" s="1">
        <v>591440</v>
      </c>
      <c r="BC18" s="1">
        <v>600067</v>
      </c>
      <c r="BD18" s="1">
        <v>588763</v>
      </c>
      <c r="BE18" s="1">
        <v>577656</v>
      </c>
      <c r="BF18" s="1">
        <v>588592</v>
      </c>
      <c r="BG18" t="s">
        <v>92</v>
      </c>
      <c r="BH18" t="s">
        <v>92</v>
      </c>
      <c r="BI18" t="s">
        <v>92</v>
      </c>
      <c r="BJ18" s="1">
        <v>49329</v>
      </c>
      <c r="BK18" t="s">
        <v>92</v>
      </c>
      <c r="BL18" t="s">
        <v>92</v>
      </c>
      <c r="BM18" t="s">
        <v>92</v>
      </c>
      <c r="BN18" s="1">
        <v>50443</v>
      </c>
      <c r="BO18" t="s">
        <v>92</v>
      </c>
      <c r="BP18" t="s">
        <v>92</v>
      </c>
      <c r="BQ18" t="s">
        <v>92</v>
      </c>
      <c r="BR18" s="1">
        <v>48834</v>
      </c>
      <c r="BS18" t="s">
        <v>92</v>
      </c>
      <c r="BT18" t="s">
        <v>92</v>
      </c>
      <c r="BU18" t="s">
        <v>92</v>
      </c>
      <c r="BV18" s="1">
        <v>46573</v>
      </c>
      <c r="BW18" t="s">
        <v>92</v>
      </c>
      <c r="BX18" t="s">
        <v>92</v>
      </c>
      <c r="BY18" t="s">
        <v>92</v>
      </c>
      <c r="BZ18" s="1">
        <v>45723</v>
      </c>
      <c r="CA18" t="s">
        <v>92</v>
      </c>
      <c r="CB18" t="s">
        <v>92</v>
      </c>
      <c r="CC18" t="s">
        <v>92</v>
      </c>
      <c r="CD18" s="1">
        <v>46572</v>
      </c>
      <c r="CE18" t="s">
        <v>92</v>
      </c>
      <c r="CF18" t="s">
        <v>92</v>
      </c>
      <c r="CG18" t="s">
        <v>92</v>
      </c>
      <c r="CH18" s="1">
        <v>45806</v>
      </c>
      <c r="CI18" t="s">
        <v>92</v>
      </c>
      <c r="CJ18" t="s">
        <v>92</v>
      </c>
      <c r="CK18" t="s">
        <v>92</v>
      </c>
      <c r="CL18" s="1">
        <v>46351</v>
      </c>
      <c r="CM18" t="s">
        <v>92</v>
      </c>
      <c r="CN18" t="s">
        <v>92</v>
      </c>
      <c r="CO18" t="s">
        <v>92</v>
      </c>
      <c r="CP18" s="1">
        <v>54652</v>
      </c>
      <c r="CQ18" t="s">
        <v>92</v>
      </c>
      <c r="CR18" t="s">
        <v>92</v>
      </c>
      <c r="CS18" t="s">
        <v>92</v>
      </c>
      <c r="CT18" s="1">
        <v>56528</v>
      </c>
      <c r="CU18" s="1">
        <v>54825</v>
      </c>
      <c r="CV18" s="1">
        <v>54454</v>
      </c>
      <c r="CW18" s="1">
        <v>53881</v>
      </c>
      <c r="CX18" s="1">
        <v>48564</v>
      </c>
      <c r="CY18" s="1">
        <v>38334</v>
      </c>
      <c r="CZ18" s="1">
        <v>38549</v>
      </c>
      <c r="DA18" s="1">
        <v>35021</v>
      </c>
      <c r="DB18" s="1">
        <v>30227</v>
      </c>
      <c r="DC18" s="1">
        <v>29602</v>
      </c>
      <c r="DD18" s="1">
        <v>36685</v>
      </c>
      <c r="DE18" s="1">
        <v>45264</v>
      </c>
      <c r="DF18" s="1">
        <v>47010</v>
      </c>
      <c r="DG18" s="1">
        <v>43670</v>
      </c>
      <c r="DH18" s="1">
        <v>43737</v>
      </c>
      <c r="DI18" s="1">
        <v>46241</v>
      </c>
      <c r="DJ18" s="1">
        <v>48788</v>
      </c>
      <c r="DK18" s="1">
        <v>46188</v>
      </c>
      <c r="DL18" t="s">
        <v>92</v>
      </c>
      <c r="DM18" t="s">
        <v>92</v>
      </c>
      <c r="DN18" t="s">
        <v>92</v>
      </c>
      <c r="DO18" s="1">
        <v>110150</v>
      </c>
      <c r="DP18" t="s">
        <v>92</v>
      </c>
      <c r="DQ18" t="s">
        <v>92</v>
      </c>
      <c r="DR18" t="s">
        <v>92</v>
      </c>
      <c r="DS18" s="1">
        <v>114955</v>
      </c>
      <c r="DT18" t="s">
        <v>92</v>
      </c>
      <c r="DU18" t="s">
        <v>92</v>
      </c>
      <c r="DV18" t="s">
        <v>92</v>
      </c>
      <c r="DW18" s="1">
        <v>123012</v>
      </c>
      <c r="DX18" t="s">
        <v>92</v>
      </c>
      <c r="DY18" t="s">
        <v>92</v>
      </c>
      <c r="DZ18" t="s">
        <v>92</v>
      </c>
      <c r="EA18" s="1">
        <v>129246</v>
      </c>
      <c r="EB18" t="s">
        <v>92</v>
      </c>
      <c r="EC18" t="s">
        <v>92</v>
      </c>
      <c r="ED18" t="s">
        <v>92</v>
      </c>
      <c r="EE18" s="1">
        <v>131187</v>
      </c>
      <c r="EF18" t="s">
        <v>92</v>
      </c>
      <c r="EG18" t="s">
        <v>92</v>
      </c>
      <c r="EH18" t="s">
        <v>92</v>
      </c>
      <c r="EI18" s="1">
        <v>137752</v>
      </c>
      <c r="EJ18" t="s">
        <v>92</v>
      </c>
      <c r="EK18" t="s">
        <v>92</v>
      </c>
      <c r="EL18" t="s">
        <v>92</v>
      </c>
      <c r="EM18" s="1">
        <v>146161</v>
      </c>
      <c r="EN18" t="s">
        <v>92</v>
      </c>
      <c r="EO18" t="s">
        <v>92</v>
      </c>
      <c r="EP18" t="s">
        <v>92</v>
      </c>
      <c r="EQ18" s="1">
        <v>151361</v>
      </c>
      <c r="ER18" t="s">
        <v>92</v>
      </c>
      <c r="ES18" t="s">
        <v>92</v>
      </c>
      <c r="ET18" t="s">
        <v>92</v>
      </c>
      <c r="EU18" s="1">
        <v>150120</v>
      </c>
      <c r="EV18" t="s">
        <v>92</v>
      </c>
      <c r="EW18" t="s">
        <v>92</v>
      </c>
      <c r="EX18" t="s">
        <v>92</v>
      </c>
      <c r="EY18" s="1">
        <v>157399</v>
      </c>
      <c r="EZ18" s="1">
        <v>157186</v>
      </c>
      <c r="FA18" s="1">
        <v>159874</v>
      </c>
      <c r="FB18" s="1">
        <v>167038</v>
      </c>
      <c r="FC18" s="1">
        <v>171711</v>
      </c>
      <c r="FD18" s="1">
        <v>184883</v>
      </c>
      <c r="FE18" s="1">
        <v>190412</v>
      </c>
      <c r="FF18" s="1">
        <v>197694</v>
      </c>
      <c r="FG18" s="1">
        <v>196986</v>
      </c>
      <c r="FH18" s="1">
        <v>200176</v>
      </c>
      <c r="FI18" s="1">
        <v>197166</v>
      </c>
      <c r="FJ18" s="1">
        <v>190296</v>
      </c>
      <c r="FK18" s="1">
        <v>190301</v>
      </c>
      <c r="FL18" s="1">
        <v>192922</v>
      </c>
      <c r="FM18" s="1">
        <v>194498</v>
      </c>
      <c r="FN18" s="1">
        <v>191746</v>
      </c>
      <c r="FO18" s="1">
        <v>193756</v>
      </c>
      <c r="FP18" s="1">
        <v>194557</v>
      </c>
      <c r="FQ18" t="s">
        <v>92</v>
      </c>
      <c r="FR18" t="s">
        <v>92</v>
      </c>
      <c r="FS18" t="s">
        <v>92</v>
      </c>
      <c r="FT18" s="1">
        <v>243531</v>
      </c>
      <c r="FU18" t="s">
        <v>92</v>
      </c>
      <c r="FV18" t="s">
        <v>92</v>
      </c>
      <c r="FW18" t="s">
        <v>92</v>
      </c>
      <c r="FX18" s="1">
        <v>258190</v>
      </c>
      <c r="FY18" t="s">
        <v>92</v>
      </c>
      <c r="FZ18" t="s">
        <v>92</v>
      </c>
      <c r="GA18" t="s">
        <v>92</v>
      </c>
      <c r="GB18" s="1">
        <v>272682</v>
      </c>
      <c r="GC18" t="s">
        <v>92</v>
      </c>
      <c r="GD18" t="s">
        <v>92</v>
      </c>
      <c r="GE18" t="s">
        <v>92</v>
      </c>
      <c r="GF18" s="1">
        <v>282808</v>
      </c>
      <c r="GG18" t="s">
        <v>92</v>
      </c>
      <c r="GH18" t="s">
        <v>92</v>
      </c>
      <c r="GI18" t="s">
        <v>92</v>
      </c>
      <c r="GJ18" s="1">
        <v>293830</v>
      </c>
      <c r="GK18" t="s">
        <v>92</v>
      </c>
      <c r="GL18" t="s">
        <v>92</v>
      </c>
      <c r="GM18" t="s">
        <v>92</v>
      </c>
      <c r="GN18" s="1">
        <v>302936</v>
      </c>
      <c r="GO18" t="s">
        <v>92</v>
      </c>
      <c r="GP18" t="s">
        <v>92</v>
      </c>
      <c r="GQ18" t="s">
        <v>92</v>
      </c>
      <c r="GR18" s="1">
        <v>319128</v>
      </c>
      <c r="GS18" t="s">
        <v>92</v>
      </c>
      <c r="GT18" t="s">
        <v>92</v>
      </c>
      <c r="GU18" t="s">
        <v>92</v>
      </c>
      <c r="GV18" s="1">
        <v>328075</v>
      </c>
      <c r="GW18" t="s">
        <v>92</v>
      </c>
      <c r="GX18" t="s">
        <v>92</v>
      </c>
      <c r="GY18" t="s">
        <v>92</v>
      </c>
      <c r="GZ18" s="1">
        <v>322279</v>
      </c>
      <c r="HA18" t="s">
        <v>92</v>
      </c>
      <c r="HB18" t="s">
        <v>92</v>
      </c>
      <c r="HC18" t="s">
        <v>92</v>
      </c>
      <c r="HD18" s="1">
        <v>329643</v>
      </c>
      <c r="HE18" s="1">
        <v>326917</v>
      </c>
      <c r="HF18" s="1">
        <v>344763</v>
      </c>
      <c r="HG18" s="1">
        <v>362493</v>
      </c>
      <c r="HH18" s="1">
        <v>374599</v>
      </c>
      <c r="HI18" s="1">
        <v>406054</v>
      </c>
      <c r="HJ18" s="1">
        <v>426630</v>
      </c>
      <c r="HK18" s="1">
        <v>454398</v>
      </c>
      <c r="HL18" s="1">
        <v>468589</v>
      </c>
      <c r="HM18" s="1">
        <v>479417</v>
      </c>
      <c r="HN18" s="1">
        <v>452713</v>
      </c>
      <c r="HO18" s="1">
        <v>438567</v>
      </c>
      <c r="HP18" s="1">
        <v>432551</v>
      </c>
      <c r="HQ18" s="1">
        <v>443422</v>
      </c>
      <c r="HR18" s="1">
        <v>450184</v>
      </c>
      <c r="HS18" s="1">
        <v>440250</v>
      </c>
      <c r="HT18" s="1">
        <v>428927</v>
      </c>
      <c r="HU18" s="1">
        <v>441258</v>
      </c>
      <c r="HV18" t="s">
        <v>92</v>
      </c>
      <c r="HW18" t="s">
        <v>92</v>
      </c>
      <c r="HX18" t="s">
        <v>92</v>
      </c>
      <c r="HY18" s="1">
        <v>351070</v>
      </c>
      <c r="HZ18" t="s">
        <v>92</v>
      </c>
      <c r="IA18" t="s">
        <v>92</v>
      </c>
      <c r="IB18" t="s">
        <v>92</v>
      </c>
      <c r="IC18" s="1">
        <v>369490</v>
      </c>
      <c r="ID18" t="s">
        <v>92</v>
      </c>
      <c r="IE18" t="s">
        <v>92</v>
      </c>
      <c r="IF18" t="s">
        <v>92</v>
      </c>
      <c r="IG18" s="1">
        <v>392174</v>
      </c>
      <c r="IH18" t="s">
        <v>92</v>
      </c>
      <c r="II18" t="s">
        <v>92</v>
      </c>
      <c r="IJ18" t="s">
        <v>92</v>
      </c>
      <c r="IK18" s="1">
        <v>412141</v>
      </c>
      <c r="IL18" t="s">
        <v>92</v>
      </c>
      <c r="IM18" t="s">
        <v>92</v>
      </c>
      <c r="IN18" t="s">
        <v>92</v>
      </c>
      <c r="IO18" s="1">
        <v>427990</v>
      </c>
      <c r="IP18" t="s">
        <v>92</v>
      </c>
      <c r="IQ18" t="s">
        <v>92</v>
      </c>
      <c r="IR18" t="s">
        <v>92</v>
      </c>
      <c r="IS18" s="1">
        <v>452138</v>
      </c>
      <c r="IT18" t="s">
        <v>92</v>
      </c>
      <c r="IU18" t="s">
        <v>92</v>
      </c>
      <c r="IV18" t="s">
        <v>92</v>
      </c>
      <c r="IW18" s="1">
        <v>480546</v>
      </c>
      <c r="IX18" t="s">
        <v>92</v>
      </c>
      <c r="IY18" t="s">
        <v>92</v>
      </c>
      <c r="IZ18" t="s">
        <v>92</v>
      </c>
      <c r="JA18" s="1">
        <v>496877</v>
      </c>
      <c r="JB18" t="s">
        <v>92</v>
      </c>
      <c r="JC18" t="s">
        <v>92</v>
      </c>
      <c r="JD18" t="s">
        <v>92</v>
      </c>
      <c r="JE18" s="1">
        <v>497300</v>
      </c>
      <c r="JF18" t="s">
        <v>92</v>
      </c>
      <c r="JG18" t="s">
        <v>92</v>
      </c>
      <c r="JH18" t="s">
        <v>92</v>
      </c>
      <c r="JI18" s="1">
        <v>530053</v>
      </c>
      <c r="JJ18" s="1">
        <v>538761</v>
      </c>
      <c r="JK18" s="1">
        <v>558639</v>
      </c>
      <c r="JL18" s="1">
        <v>587522</v>
      </c>
      <c r="JM18" s="1">
        <v>624445</v>
      </c>
      <c r="JN18" s="1">
        <v>684391</v>
      </c>
      <c r="JO18" s="1">
        <v>714784</v>
      </c>
      <c r="JP18" s="1">
        <v>757981</v>
      </c>
      <c r="JQ18" s="1">
        <v>775316</v>
      </c>
      <c r="JR18" s="1">
        <v>790433</v>
      </c>
      <c r="JS18" s="1">
        <v>764056</v>
      </c>
      <c r="JT18" s="1">
        <v>731775</v>
      </c>
      <c r="JU18" s="1">
        <v>719693</v>
      </c>
      <c r="JV18" s="1">
        <v>735393</v>
      </c>
      <c r="JW18" s="1">
        <v>744322</v>
      </c>
      <c r="JX18" s="1">
        <v>730931</v>
      </c>
      <c r="JY18" s="1">
        <v>721108</v>
      </c>
      <c r="JZ18" s="1">
        <v>735931</v>
      </c>
      <c r="KA18" t="s">
        <v>92</v>
      </c>
      <c r="KB18" t="s">
        <v>92</v>
      </c>
      <c r="KC18" t="s">
        <v>92</v>
      </c>
      <c r="KD18" s="1">
        <v>690191</v>
      </c>
      <c r="KE18" t="s">
        <v>92</v>
      </c>
      <c r="KF18" t="s">
        <v>92</v>
      </c>
      <c r="KG18" t="s">
        <v>92</v>
      </c>
      <c r="KH18" s="1">
        <v>732619</v>
      </c>
      <c r="KI18" t="s">
        <v>92</v>
      </c>
      <c r="KJ18" t="s">
        <v>92</v>
      </c>
      <c r="KK18" t="s">
        <v>92</v>
      </c>
      <c r="KL18" s="1">
        <v>780644</v>
      </c>
      <c r="KM18" t="s">
        <v>92</v>
      </c>
      <c r="KN18" t="s">
        <v>92</v>
      </c>
      <c r="KO18" t="s">
        <v>92</v>
      </c>
      <c r="KP18" s="1">
        <v>829647</v>
      </c>
      <c r="KQ18" t="s">
        <v>92</v>
      </c>
      <c r="KR18" t="s">
        <v>92</v>
      </c>
      <c r="KS18" t="s">
        <v>92</v>
      </c>
      <c r="KT18" s="1">
        <v>874675</v>
      </c>
      <c r="KU18" t="s">
        <v>92</v>
      </c>
      <c r="KV18" t="s">
        <v>92</v>
      </c>
      <c r="KW18" t="s">
        <v>92</v>
      </c>
      <c r="KX18" s="1">
        <v>946189</v>
      </c>
      <c r="KY18" t="s">
        <v>92</v>
      </c>
      <c r="KZ18" t="s">
        <v>92</v>
      </c>
      <c r="LA18" t="s">
        <v>92</v>
      </c>
      <c r="LB18" s="1">
        <v>1028934</v>
      </c>
      <c r="LC18" t="s">
        <v>92</v>
      </c>
      <c r="LD18" t="s">
        <v>92</v>
      </c>
      <c r="LE18" t="s">
        <v>92</v>
      </c>
      <c r="LF18" s="1">
        <v>1072759</v>
      </c>
      <c r="LG18" t="s">
        <v>92</v>
      </c>
      <c r="LH18" t="s">
        <v>92</v>
      </c>
      <c r="LI18" t="s">
        <v>92</v>
      </c>
      <c r="LJ18" s="1">
        <v>1056791</v>
      </c>
      <c r="LK18" t="s">
        <v>92</v>
      </c>
      <c r="LL18" t="s">
        <v>92</v>
      </c>
      <c r="LM18" t="s">
        <v>92</v>
      </c>
      <c r="LN18" s="1">
        <v>1094887</v>
      </c>
      <c r="LO18" s="1">
        <v>1112512</v>
      </c>
      <c r="LP18" s="1">
        <v>1158153</v>
      </c>
      <c r="LQ18" s="1">
        <v>1215210</v>
      </c>
      <c r="LR18" s="1">
        <v>1278895</v>
      </c>
      <c r="LS18" s="1">
        <v>1411256</v>
      </c>
      <c r="LT18" s="1">
        <v>1472777</v>
      </c>
      <c r="LU18" s="1">
        <v>1574005</v>
      </c>
      <c r="LV18" s="1">
        <v>1631926</v>
      </c>
      <c r="LW18" s="1">
        <v>1701794</v>
      </c>
      <c r="LX18" s="1">
        <v>1607232</v>
      </c>
      <c r="LY18" s="1">
        <v>1534215</v>
      </c>
      <c r="LZ18" s="1">
        <v>1502791</v>
      </c>
      <c r="MA18" s="1">
        <v>1541794</v>
      </c>
      <c r="MB18" s="1">
        <v>1567594</v>
      </c>
      <c r="MC18" s="1">
        <v>1534646</v>
      </c>
      <c r="MD18" s="1">
        <v>1495702</v>
      </c>
      <c r="ME18" s="1">
        <v>1525025</v>
      </c>
    </row>
    <row r="19" spans="1:343" x14ac:dyDescent="0.25">
      <c r="A19" t="s">
        <v>342</v>
      </c>
      <c r="B19" t="s">
        <v>92</v>
      </c>
      <c r="C19" t="s">
        <v>92</v>
      </c>
      <c r="D19" t="s">
        <v>92</v>
      </c>
      <c r="E19" s="1">
        <v>249348</v>
      </c>
      <c r="F19" t="s">
        <v>92</v>
      </c>
      <c r="G19" t="s">
        <v>92</v>
      </c>
      <c r="H19" t="s">
        <v>92</v>
      </c>
      <c r="I19" s="1">
        <v>265356</v>
      </c>
      <c r="J19" t="s">
        <v>92</v>
      </c>
      <c r="K19" t="s">
        <v>92</v>
      </c>
      <c r="L19" t="s">
        <v>92</v>
      </c>
      <c r="M19" s="1">
        <v>282961</v>
      </c>
      <c r="N19" t="s">
        <v>92</v>
      </c>
      <c r="O19" t="s">
        <v>92</v>
      </c>
      <c r="P19" t="s">
        <v>92</v>
      </c>
      <c r="Q19" s="1">
        <v>298499</v>
      </c>
      <c r="R19" t="s">
        <v>92</v>
      </c>
      <c r="S19" t="s">
        <v>92</v>
      </c>
      <c r="T19" t="s">
        <v>92</v>
      </c>
      <c r="U19" s="1">
        <v>311484</v>
      </c>
      <c r="V19" t="s">
        <v>92</v>
      </c>
      <c r="W19" t="s">
        <v>92</v>
      </c>
      <c r="X19" t="s">
        <v>92</v>
      </c>
      <c r="Y19" s="1">
        <v>331993</v>
      </c>
      <c r="Z19" t="s">
        <v>92</v>
      </c>
      <c r="AA19" t="s">
        <v>92</v>
      </c>
      <c r="AB19" t="s">
        <v>92</v>
      </c>
      <c r="AC19" s="1">
        <v>357082</v>
      </c>
      <c r="AD19" t="s">
        <v>92</v>
      </c>
      <c r="AE19" t="s">
        <v>92</v>
      </c>
      <c r="AF19" t="s">
        <v>92</v>
      </c>
      <c r="AG19" s="1">
        <v>370992</v>
      </c>
      <c r="AH19" t="s">
        <v>92</v>
      </c>
      <c r="AI19" t="s">
        <v>92</v>
      </c>
      <c r="AJ19" t="s">
        <v>92</v>
      </c>
      <c r="AK19" s="1">
        <v>367364</v>
      </c>
      <c r="AL19" t="s">
        <v>92</v>
      </c>
      <c r="AM19" t="s">
        <v>92</v>
      </c>
      <c r="AN19" t="s">
        <v>92</v>
      </c>
      <c r="AO19" s="1">
        <v>383906</v>
      </c>
      <c r="AP19" s="1">
        <v>389447</v>
      </c>
      <c r="AQ19" s="1">
        <v>406460</v>
      </c>
      <c r="AR19" s="1">
        <v>426249</v>
      </c>
      <c r="AS19" s="1">
        <v>448651</v>
      </c>
      <c r="AT19" s="1">
        <v>493299</v>
      </c>
      <c r="AU19" s="1">
        <v>515047</v>
      </c>
      <c r="AV19" s="1">
        <v>548342</v>
      </c>
      <c r="AW19" s="1">
        <v>566129</v>
      </c>
      <c r="AX19" s="1">
        <v>585285</v>
      </c>
      <c r="AY19" s="1">
        <v>554822</v>
      </c>
      <c r="AZ19" s="1">
        <v>530835</v>
      </c>
      <c r="BA19" s="1">
        <v>521783</v>
      </c>
      <c r="BB19" s="1">
        <v>535719</v>
      </c>
      <c r="BC19" s="1">
        <v>543482</v>
      </c>
      <c r="BD19" s="1">
        <v>531709</v>
      </c>
      <c r="BE19" s="1">
        <v>520496</v>
      </c>
      <c r="BF19" s="1">
        <v>532186</v>
      </c>
      <c r="BG19" t="s">
        <v>92</v>
      </c>
      <c r="BH19" t="s">
        <v>92</v>
      </c>
      <c r="BI19" t="s">
        <v>92</v>
      </c>
      <c r="BJ19" s="1">
        <v>36798</v>
      </c>
      <c r="BK19" t="s">
        <v>92</v>
      </c>
      <c r="BL19" t="s">
        <v>92</v>
      </c>
      <c r="BM19" t="s">
        <v>92</v>
      </c>
      <c r="BN19" s="1">
        <v>37903</v>
      </c>
      <c r="BO19" t="s">
        <v>92</v>
      </c>
      <c r="BP19" t="s">
        <v>92</v>
      </c>
      <c r="BQ19" t="s">
        <v>92</v>
      </c>
      <c r="BR19" s="1">
        <v>36295</v>
      </c>
      <c r="BS19" t="s">
        <v>92</v>
      </c>
      <c r="BT19" t="s">
        <v>92</v>
      </c>
      <c r="BU19" t="s">
        <v>92</v>
      </c>
      <c r="BV19" s="1">
        <v>33927</v>
      </c>
      <c r="BW19" t="s">
        <v>92</v>
      </c>
      <c r="BX19" t="s">
        <v>92</v>
      </c>
      <c r="BY19" t="s">
        <v>92</v>
      </c>
      <c r="BZ19" s="1">
        <v>32756</v>
      </c>
      <c r="CA19" t="s">
        <v>92</v>
      </c>
      <c r="CB19" t="s">
        <v>92</v>
      </c>
      <c r="CC19" t="s">
        <v>92</v>
      </c>
      <c r="CD19" s="1">
        <v>33048</v>
      </c>
      <c r="CE19" t="s">
        <v>92</v>
      </c>
      <c r="CF19" t="s">
        <v>92</v>
      </c>
      <c r="CG19" t="s">
        <v>92</v>
      </c>
      <c r="CH19" s="1">
        <v>32041</v>
      </c>
      <c r="CI19" t="s">
        <v>92</v>
      </c>
      <c r="CJ19" t="s">
        <v>92</v>
      </c>
      <c r="CK19" t="s">
        <v>92</v>
      </c>
      <c r="CL19" s="1">
        <v>32422</v>
      </c>
      <c r="CM19" t="s">
        <v>92</v>
      </c>
      <c r="CN19" t="s">
        <v>92</v>
      </c>
      <c r="CO19" t="s">
        <v>92</v>
      </c>
      <c r="CP19" s="1">
        <v>39114</v>
      </c>
      <c r="CQ19" t="s">
        <v>92</v>
      </c>
      <c r="CR19" t="s">
        <v>92</v>
      </c>
      <c r="CS19" t="s">
        <v>92</v>
      </c>
      <c r="CT19" s="1">
        <v>40307</v>
      </c>
      <c r="CU19" s="1">
        <v>38956</v>
      </c>
      <c r="CV19" s="1">
        <v>38634</v>
      </c>
      <c r="CW19" s="1">
        <v>37781</v>
      </c>
      <c r="CX19" s="1">
        <v>33198</v>
      </c>
      <c r="CY19" s="1">
        <v>23393</v>
      </c>
      <c r="CZ19" s="1">
        <v>23173</v>
      </c>
      <c r="DA19" s="1">
        <v>19479</v>
      </c>
      <c r="DB19" s="1">
        <v>15265</v>
      </c>
      <c r="DC19" s="1">
        <v>14615</v>
      </c>
      <c r="DD19" s="1">
        <v>21009</v>
      </c>
      <c r="DE19" s="1">
        <v>29297</v>
      </c>
      <c r="DF19" s="1">
        <v>30933</v>
      </c>
      <c r="DG19" s="1">
        <v>28011</v>
      </c>
      <c r="DH19" s="1">
        <v>27934</v>
      </c>
      <c r="DI19" s="1">
        <v>30244</v>
      </c>
      <c r="DJ19" s="1">
        <v>32600</v>
      </c>
      <c r="DK19" s="1">
        <v>30214</v>
      </c>
      <c r="DL19" t="s">
        <v>92</v>
      </c>
      <c r="DM19" t="s">
        <v>92</v>
      </c>
      <c r="DN19" t="s">
        <v>92</v>
      </c>
      <c r="DO19" s="1">
        <v>87900</v>
      </c>
      <c r="DP19" t="s">
        <v>92</v>
      </c>
      <c r="DQ19" t="s">
        <v>92</v>
      </c>
      <c r="DR19" t="s">
        <v>92</v>
      </c>
      <c r="DS19" s="1">
        <v>92349</v>
      </c>
      <c r="DT19" t="s">
        <v>92</v>
      </c>
      <c r="DU19" t="s">
        <v>92</v>
      </c>
      <c r="DV19" t="s">
        <v>92</v>
      </c>
      <c r="DW19" s="1">
        <v>99591</v>
      </c>
      <c r="DX19" t="s">
        <v>92</v>
      </c>
      <c r="DY19" t="s">
        <v>92</v>
      </c>
      <c r="DZ19" t="s">
        <v>92</v>
      </c>
      <c r="EA19" s="1">
        <v>104704</v>
      </c>
      <c r="EB19" t="s">
        <v>92</v>
      </c>
      <c r="EC19" t="s">
        <v>92</v>
      </c>
      <c r="ED19" t="s">
        <v>92</v>
      </c>
      <c r="EE19" s="1">
        <v>105439</v>
      </c>
      <c r="EF19" t="s">
        <v>92</v>
      </c>
      <c r="EG19" t="s">
        <v>92</v>
      </c>
      <c r="EH19" t="s">
        <v>92</v>
      </c>
      <c r="EI19" s="1">
        <v>110543</v>
      </c>
      <c r="EJ19" t="s">
        <v>92</v>
      </c>
      <c r="EK19" t="s">
        <v>92</v>
      </c>
      <c r="EL19" t="s">
        <v>92</v>
      </c>
      <c r="EM19" s="1">
        <v>117630</v>
      </c>
      <c r="EN19" t="s">
        <v>92</v>
      </c>
      <c r="EO19" t="s">
        <v>92</v>
      </c>
      <c r="EP19" t="s">
        <v>92</v>
      </c>
      <c r="EQ19" s="1">
        <v>121973</v>
      </c>
      <c r="ER19" t="s">
        <v>92</v>
      </c>
      <c r="ES19" t="s">
        <v>92</v>
      </c>
      <c r="ET19" t="s">
        <v>92</v>
      </c>
      <c r="EU19" s="1">
        <v>120370</v>
      </c>
      <c r="EV19" t="s">
        <v>92</v>
      </c>
      <c r="EW19" t="s">
        <v>92</v>
      </c>
      <c r="EX19" t="s">
        <v>92</v>
      </c>
      <c r="EY19" s="1">
        <v>126803</v>
      </c>
      <c r="EZ19" s="1">
        <v>127272</v>
      </c>
      <c r="FA19" s="1">
        <v>129748</v>
      </c>
      <c r="FB19" s="1">
        <v>135463</v>
      </c>
      <c r="FC19" s="1">
        <v>138945</v>
      </c>
      <c r="FD19" s="1">
        <v>152267</v>
      </c>
      <c r="FE19" s="1">
        <v>156332</v>
      </c>
      <c r="FF19" s="1">
        <v>162619</v>
      </c>
      <c r="FG19" s="1">
        <v>162519</v>
      </c>
      <c r="FH19" s="1">
        <v>165452</v>
      </c>
      <c r="FI19" s="1">
        <v>161634</v>
      </c>
      <c r="FJ19" s="1">
        <v>153825</v>
      </c>
      <c r="FK19" s="1">
        <v>154259</v>
      </c>
      <c r="FL19" s="1">
        <v>157405</v>
      </c>
      <c r="FM19" s="1">
        <v>158498</v>
      </c>
      <c r="FN19" s="1">
        <v>155460</v>
      </c>
      <c r="FO19" s="1">
        <v>157324</v>
      </c>
      <c r="FP19" s="1">
        <v>158559</v>
      </c>
      <c r="FQ19" t="s">
        <v>92</v>
      </c>
      <c r="FR19" t="s">
        <v>92</v>
      </c>
      <c r="FS19" t="s">
        <v>92</v>
      </c>
      <c r="FT19" s="1">
        <v>208044</v>
      </c>
      <c r="FU19" t="s">
        <v>92</v>
      </c>
      <c r="FV19" t="s">
        <v>92</v>
      </c>
      <c r="FW19" t="s">
        <v>92</v>
      </c>
      <c r="FX19" s="1">
        <v>222411</v>
      </c>
      <c r="FY19" t="s">
        <v>92</v>
      </c>
      <c r="FZ19" t="s">
        <v>92</v>
      </c>
      <c r="GA19" t="s">
        <v>92</v>
      </c>
      <c r="GB19" s="1">
        <v>236376</v>
      </c>
      <c r="GC19" t="s">
        <v>92</v>
      </c>
      <c r="GD19" t="s">
        <v>92</v>
      </c>
      <c r="GE19" t="s">
        <v>92</v>
      </c>
      <c r="GF19" s="1">
        <v>245803</v>
      </c>
      <c r="GG19" t="s">
        <v>92</v>
      </c>
      <c r="GH19" t="s">
        <v>92</v>
      </c>
      <c r="GI19" t="s">
        <v>92</v>
      </c>
      <c r="GJ19" s="1">
        <v>255604</v>
      </c>
      <c r="GK19" t="s">
        <v>92</v>
      </c>
      <c r="GL19" t="s">
        <v>92</v>
      </c>
      <c r="GM19" t="s">
        <v>92</v>
      </c>
      <c r="GN19" s="1">
        <v>263313</v>
      </c>
      <c r="GO19" t="s">
        <v>92</v>
      </c>
      <c r="GP19" t="s">
        <v>92</v>
      </c>
      <c r="GQ19" t="s">
        <v>92</v>
      </c>
      <c r="GR19" s="1">
        <v>277737</v>
      </c>
      <c r="GS19" t="s">
        <v>92</v>
      </c>
      <c r="GT19" t="s">
        <v>92</v>
      </c>
      <c r="GU19" t="s">
        <v>92</v>
      </c>
      <c r="GV19" s="1">
        <v>285683</v>
      </c>
      <c r="GW19" t="s">
        <v>92</v>
      </c>
      <c r="GX19" t="s">
        <v>92</v>
      </c>
      <c r="GY19" t="s">
        <v>92</v>
      </c>
      <c r="GZ19" s="1">
        <v>278320</v>
      </c>
      <c r="HA19" t="s">
        <v>92</v>
      </c>
      <c r="HB19" t="s">
        <v>92</v>
      </c>
      <c r="HC19" t="s">
        <v>92</v>
      </c>
      <c r="HD19" s="1">
        <v>284590</v>
      </c>
      <c r="HE19" s="1">
        <v>283142</v>
      </c>
      <c r="HF19" s="1">
        <v>299911</v>
      </c>
      <c r="HG19" s="1">
        <v>315538</v>
      </c>
      <c r="HH19" s="1">
        <v>328547</v>
      </c>
      <c r="HI19" s="1">
        <v>358988</v>
      </c>
      <c r="HJ19" s="1">
        <v>378025</v>
      </c>
      <c r="HK19" s="1">
        <v>403531</v>
      </c>
      <c r="HL19" s="1">
        <v>417963</v>
      </c>
      <c r="HM19" s="1">
        <v>428263</v>
      </c>
      <c r="HN19" s="1">
        <v>400260</v>
      </c>
      <c r="HO19" s="1">
        <v>386946</v>
      </c>
      <c r="HP19" s="1">
        <v>380774</v>
      </c>
      <c r="HQ19" s="1">
        <v>392424</v>
      </c>
      <c r="HR19" s="1">
        <v>398290</v>
      </c>
      <c r="HS19" s="1">
        <v>388680</v>
      </c>
      <c r="HT19" s="1">
        <v>376861</v>
      </c>
      <c r="HU19" s="1">
        <v>389796</v>
      </c>
      <c r="HV19" t="s">
        <v>92</v>
      </c>
      <c r="HW19" t="s">
        <v>92</v>
      </c>
      <c r="HX19" t="s">
        <v>92</v>
      </c>
      <c r="HY19" s="1">
        <v>305194</v>
      </c>
      <c r="HZ19" t="s">
        <v>92</v>
      </c>
      <c r="IA19" t="s">
        <v>92</v>
      </c>
      <c r="IB19" t="s">
        <v>92</v>
      </c>
      <c r="IC19" s="1">
        <v>323425</v>
      </c>
      <c r="ID19" t="s">
        <v>92</v>
      </c>
      <c r="IE19" t="s">
        <v>92</v>
      </c>
      <c r="IF19" t="s">
        <v>92</v>
      </c>
      <c r="IG19" s="1">
        <v>345078</v>
      </c>
      <c r="IH19" t="s">
        <v>92</v>
      </c>
      <c r="II19" t="s">
        <v>92</v>
      </c>
      <c r="IJ19" t="s">
        <v>92</v>
      </c>
      <c r="IK19" s="1">
        <v>363119</v>
      </c>
      <c r="IL19" t="s">
        <v>92</v>
      </c>
      <c r="IM19" t="s">
        <v>92</v>
      </c>
      <c r="IN19" t="s">
        <v>92</v>
      </c>
      <c r="IO19" s="1">
        <v>375985</v>
      </c>
      <c r="IP19" t="s">
        <v>92</v>
      </c>
      <c r="IQ19" t="s">
        <v>92</v>
      </c>
      <c r="IR19" t="s">
        <v>92</v>
      </c>
      <c r="IS19" s="1">
        <v>396763</v>
      </c>
      <c r="IT19" t="s">
        <v>92</v>
      </c>
      <c r="IU19" t="s">
        <v>92</v>
      </c>
      <c r="IV19" t="s">
        <v>92</v>
      </c>
      <c r="IW19" s="1">
        <v>422127</v>
      </c>
      <c r="IX19" t="s">
        <v>92</v>
      </c>
      <c r="IY19" t="s">
        <v>92</v>
      </c>
      <c r="IZ19" t="s">
        <v>92</v>
      </c>
      <c r="JA19" s="1">
        <v>436887</v>
      </c>
      <c r="JB19" t="s">
        <v>92</v>
      </c>
      <c r="JC19" t="s">
        <v>92</v>
      </c>
      <c r="JD19" t="s">
        <v>92</v>
      </c>
      <c r="JE19" s="1">
        <v>438580</v>
      </c>
      <c r="JF19" t="s">
        <v>92</v>
      </c>
      <c r="JG19" t="s">
        <v>92</v>
      </c>
      <c r="JH19" t="s">
        <v>92</v>
      </c>
      <c r="JI19" s="1">
        <v>470776</v>
      </c>
      <c r="JJ19" s="1">
        <v>481160</v>
      </c>
      <c r="JK19" s="1">
        <v>501714</v>
      </c>
      <c r="JL19" s="1">
        <v>527625</v>
      </c>
      <c r="JM19" s="1">
        <v>563982</v>
      </c>
      <c r="JN19" s="1">
        <v>622561</v>
      </c>
      <c r="JO19" s="1">
        <v>650709</v>
      </c>
      <c r="JP19" s="1">
        <v>691587</v>
      </c>
      <c r="JQ19" s="1">
        <v>710377</v>
      </c>
      <c r="JR19" s="1">
        <v>724475</v>
      </c>
      <c r="JS19" s="1">
        <v>695856</v>
      </c>
      <c r="JT19" s="1">
        <v>662907</v>
      </c>
      <c r="JU19" s="1">
        <v>652367</v>
      </c>
      <c r="JV19" s="1">
        <v>669221</v>
      </c>
      <c r="JW19" s="1">
        <v>676992</v>
      </c>
      <c r="JX19" s="1">
        <v>662386</v>
      </c>
      <c r="JY19" s="1">
        <v>653417</v>
      </c>
      <c r="JZ19" s="1">
        <v>668867</v>
      </c>
      <c r="KA19" t="s">
        <v>92</v>
      </c>
      <c r="KB19" t="s">
        <v>92</v>
      </c>
      <c r="KC19" t="s">
        <v>92</v>
      </c>
      <c r="KD19" s="1">
        <v>608802</v>
      </c>
      <c r="KE19" t="s">
        <v>92</v>
      </c>
      <c r="KF19" t="s">
        <v>92</v>
      </c>
      <c r="KG19" t="s">
        <v>92</v>
      </c>
      <c r="KH19" s="1">
        <v>650694</v>
      </c>
      <c r="KI19" t="s">
        <v>92</v>
      </c>
      <c r="KJ19" t="s">
        <v>92</v>
      </c>
      <c r="KK19" t="s">
        <v>92</v>
      </c>
      <c r="KL19" s="1">
        <v>697466</v>
      </c>
      <c r="KM19" t="s">
        <v>92</v>
      </c>
      <c r="KN19" t="s">
        <v>92</v>
      </c>
      <c r="KO19" t="s">
        <v>92</v>
      </c>
      <c r="KP19" s="1">
        <v>744942</v>
      </c>
      <c r="KQ19" t="s">
        <v>92</v>
      </c>
      <c r="KR19" t="s">
        <v>92</v>
      </c>
      <c r="KS19" t="s">
        <v>92</v>
      </c>
      <c r="KT19" s="1">
        <v>787635</v>
      </c>
      <c r="KU19" t="s">
        <v>92</v>
      </c>
      <c r="KV19" t="s">
        <v>92</v>
      </c>
      <c r="KW19" t="s">
        <v>92</v>
      </c>
      <c r="KX19" s="1">
        <v>856299</v>
      </c>
      <c r="KY19" t="s">
        <v>92</v>
      </c>
      <c r="KZ19" t="s">
        <v>92</v>
      </c>
      <c r="LA19" t="s">
        <v>92</v>
      </c>
      <c r="LB19" s="1">
        <v>935876</v>
      </c>
      <c r="LC19" t="s">
        <v>92</v>
      </c>
      <c r="LD19" t="s">
        <v>92</v>
      </c>
      <c r="LE19" t="s">
        <v>92</v>
      </c>
      <c r="LF19" s="1">
        <v>977995</v>
      </c>
      <c r="LG19" t="s">
        <v>92</v>
      </c>
      <c r="LH19" t="s">
        <v>92</v>
      </c>
      <c r="LI19" t="s">
        <v>92</v>
      </c>
      <c r="LJ19" s="1">
        <v>960437</v>
      </c>
      <c r="LK19" t="s">
        <v>92</v>
      </c>
      <c r="LL19" t="s">
        <v>92</v>
      </c>
      <c r="LM19" t="s">
        <v>92</v>
      </c>
      <c r="LN19" s="1">
        <v>997054</v>
      </c>
      <c r="LO19" s="1">
        <v>1016704</v>
      </c>
      <c r="LP19" s="1">
        <v>1062293</v>
      </c>
      <c r="LQ19" s="1">
        <v>1114839</v>
      </c>
      <c r="LR19" s="1">
        <v>1178581</v>
      </c>
      <c r="LS19" s="1">
        <v>1309284</v>
      </c>
      <c r="LT19" s="1">
        <v>1366998</v>
      </c>
      <c r="LU19" s="1">
        <v>1464494</v>
      </c>
      <c r="LV19" s="1">
        <v>1524520</v>
      </c>
      <c r="LW19" s="1">
        <v>1593617</v>
      </c>
      <c r="LX19" s="1">
        <v>1495350</v>
      </c>
      <c r="LY19" s="1">
        <v>1421201</v>
      </c>
      <c r="LZ19" s="1">
        <v>1390585</v>
      </c>
      <c r="MA19" s="1">
        <v>1431533</v>
      </c>
      <c r="MB19" s="1">
        <v>1455698</v>
      </c>
      <c r="MC19" s="1">
        <v>1421775</v>
      </c>
      <c r="MD19" s="1">
        <v>1382276</v>
      </c>
      <c r="ME19" s="1">
        <v>1413495</v>
      </c>
    </row>
    <row r="20" spans="1:343" x14ac:dyDescent="0.25">
      <c r="A20" t="s">
        <v>343</v>
      </c>
      <c r="B20" t="s">
        <v>92</v>
      </c>
      <c r="C20" t="s">
        <v>92</v>
      </c>
      <c r="D20" t="s">
        <v>92</v>
      </c>
      <c r="E20" s="1">
        <v>39507</v>
      </c>
      <c r="F20" t="s">
        <v>92</v>
      </c>
      <c r="G20" t="s">
        <v>92</v>
      </c>
      <c r="H20" t="s">
        <v>92</v>
      </c>
      <c r="I20" s="1">
        <v>39783</v>
      </c>
      <c r="J20" t="s">
        <v>92</v>
      </c>
      <c r="K20" t="s">
        <v>92</v>
      </c>
      <c r="L20" t="s">
        <v>92</v>
      </c>
      <c r="M20" s="1">
        <v>40508</v>
      </c>
      <c r="N20" t="s">
        <v>92</v>
      </c>
      <c r="O20" t="s">
        <v>92</v>
      </c>
      <c r="P20" t="s">
        <v>92</v>
      </c>
      <c r="Q20" s="1">
        <v>41584</v>
      </c>
      <c r="R20" t="s">
        <v>92</v>
      </c>
      <c r="S20" t="s">
        <v>92</v>
      </c>
      <c r="T20" t="s">
        <v>92</v>
      </c>
      <c r="U20" s="1">
        <v>43198</v>
      </c>
      <c r="V20" t="s">
        <v>92</v>
      </c>
      <c r="W20" t="s">
        <v>92</v>
      </c>
      <c r="X20" t="s">
        <v>92</v>
      </c>
      <c r="Y20" s="1">
        <v>45124</v>
      </c>
      <c r="Z20" t="s">
        <v>92</v>
      </c>
      <c r="AA20" t="s">
        <v>92</v>
      </c>
      <c r="AB20" t="s">
        <v>92</v>
      </c>
      <c r="AC20" s="1">
        <v>47033</v>
      </c>
      <c r="AD20" t="s">
        <v>92</v>
      </c>
      <c r="AE20" t="s">
        <v>92</v>
      </c>
      <c r="AF20" t="s">
        <v>92</v>
      </c>
      <c r="AG20" s="1">
        <v>48093</v>
      </c>
      <c r="AH20" t="s">
        <v>92</v>
      </c>
      <c r="AI20" t="s">
        <v>92</v>
      </c>
      <c r="AJ20" t="s">
        <v>92</v>
      </c>
      <c r="AK20" s="1">
        <v>48864</v>
      </c>
      <c r="AL20" t="s">
        <v>92</v>
      </c>
      <c r="AM20" t="s">
        <v>92</v>
      </c>
      <c r="AN20" t="s">
        <v>92</v>
      </c>
      <c r="AO20" s="1">
        <v>49796</v>
      </c>
      <c r="AP20" s="1">
        <v>48594</v>
      </c>
      <c r="AQ20" s="1">
        <v>48717</v>
      </c>
      <c r="AR20" s="1">
        <v>50979</v>
      </c>
      <c r="AS20" s="1">
        <v>50992</v>
      </c>
      <c r="AT20" s="1">
        <v>51685</v>
      </c>
      <c r="AU20" s="1">
        <v>53583</v>
      </c>
      <c r="AV20" s="1">
        <v>55478</v>
      </c>
      <c r="AW20" s="1">
        <v>54480</v>
      </c>
      <c r="AX20" s="1">
        <v>55000</v>
      </c>
      <c r="AY20" s="1">
        <v>56748</v>
      </c>
      <c r="AZ20" s="1">
        <v>57188</v>
      </c>
      <c r="BA20" s="1">
        <v>56686</v>
      </c>
      <c r="BB20" s="1">
        <v>55722</v>
      </c>
      <c r="BC20" s="1">
        <v>56585</v>
      </c>
      <c r="BD20" s="1">
        <v>57054</v>
      </c>
      <c r="BE20" s="1">
        <v>57161</v>
      </c>
      <c r="BF20" s="1">
        <v>56406</v>
      </c>
      <c r="BG20" t="s">
        <v>92</v>
      </c>
      <c r="BH20" t="s">
        <v>92</v>
      </c>
      <c r="BI20" t="s">
        <v>92</v>
      </c>
      <c r="BJ20" s="1">
        <v>12531</v>
      </c>
      <c r="BK20" t="s">
        <v>92</v>
      </c>
      <c r="BL20" t="s">
        <v>92</v>
      </c>
      <c r="BM20" t="s">
        <v>92</v>
      </c>
      <c r="BN20" s="1">
        <v>12540</v>
      </c>
      <c r="BO20" t="s">
        <v>92</v>
      </c>
      <c r="BP20" t="s">
        <v>92</v>
      </c>
      <c r="BQ20" t="s">
        <v>92</v>
      </c>
      <c r="BR20" s="1">
        <v>12539</v>
      </c>
      <c r="BS20" t="s">
        <v>92</v>
      </c>
      <c r="BT20" t="s">
        <v>92</v>
      </c>
      <c r="BU20" t="s">
        <v>92</v>
      </c>
      <c r="BV20" s="1">
        <v>12646</v>
      </c>
      <c r="BW20" t="s">
        <v>92</v>
      </c>
      <c r="BX20" t="s">
        <v>92</v>
      </c>
      <c r="BY20" t="s">
        <v>92</v>
      </c>
      <c r="BZ20" s="1">
        <v>12968</v>
      </c>
      <c r="CA20" t="s">
        <v>92</v>
      </c>
      <c r="CB20" t="s">
        <v>92</v>
      </c>
      <c r="CC20" t="s">
        <v>92</v>
      </c>
      <c r="CD20" s="1">
        <v>13524</v>
      </c>
      <c r="CE20" t="s">
        <v>92</v>
      </c>
      <c r="CF20" t="s">
        <v>92</v>
      </c>
      <c r="CG20" t="s">
        <v>92</v>
      </c>
      <c r="CH20" s="1">
        <v>13765</v>
      </c>
      <c r="CI20" t="s">
        <v>92</v>
      </c>
      <c r="CJ20" t="s">
        <v>92</v>
      </c>
      <c r="CK20" t="s">
        <v>92</v>
      </c>
      <c r="CL20" s="1">
        <v>13930</v>
      </c>
      <c r="CM20" t="s">
        <v>92</v>
      </c>
      <c r="CN20" t="s">
        <v>92</v>
      </c>
      <c r="CO20" t="s">
        <v>92</v>
      </c>
      <c r="CP20" s="1">
        <v>15538</v>
      </c>
      <c r="CQ20" t="s">
        <v>92</v>
      </c>
      <c r="CR20" t="s">
        <v>92</v>
      </c>
      <c r="CS20" t="s">
        <v>92</v>
      </c>
      <c r="CT20" s="1">
        <v>16221</v>
      </c>
      <c r="CU20" s="1">
        <v>15870</v>
      </c>
      <c r="CV20" s="1">
        <v>15820</v>
      </c>
      <c r="CW20" s="1">
        <v>16099</v>
      </c>
      <c r="CX20" s="1">
        <v>15366</v>
      </c>
      <c r="CY20" s="1">
        <v>14941</v>
      </c>
      <c r="CZ20" s="1">
        <v>15376</v>
      </c>
      <c r="DA20" s="1">
        <v>15543</v>
      </c>
      <c r="DB20" s="1">
        <v>14962</v>
      </c>
      <c r="DC20" s="1">
        <v>14987</v>
      </c>
      <c r="DD20" s="1">
        <v>15676</v>
      </c>
      <c r="DE20" s="1">
        <v>15966</v>
      </c>
      <c r="DF20" s="1">
        <v>16077</v>
      </c>
      <c r="DG20" s="1">
        <v>15659</v>
      </c>
      <c r="DH20" s="1">
        <v>15803</v>
      </c>
      <c r="DI20" s="1">
        <v>15997</v>
      </c>
      <c r="DJ20" s="1">
        <v>16188</v>
      </c>
      <c r="DK20" s="1">
        <v>15974</v>
      </c>
      <c r="DL20" t="s">
        <v>92</v>
      </c>
      <c r="DM20" t="s">
        <v>92</v>
      </c>
      <c r="DN20" t="s">
        <v>92</v>
      </c>
      <c r="DO20" s="1">
        <v>22250</v>
      </c>
      <c r="DP20" t="s">
        <v>92</v>
      </c>
      <c r="DQ20" t="s">
        <v>92</v>
      </c>
      <c r="DR20" t="s">
        <v>92</v>
      </c>
      <c r="DS20" s="1">
        <v>22606</v>
      </c>
      <c r="DT20" t="s">
        <v>92</v>
      </c>
      <c r="DU20" t="s">
        <v>92</v>
      </c>
      <c r="DV20" t="s">
        <v>92</v>
      </c>
      <c r="DW20" s="1">
        <v>23420</v>
      </c>
      <c r="DX20" t="s">
        <v>92</v>
      </c>
      <c r="DY20" t="s">
        <v>92</v>
      </c>
      <c r="DZ20" t="s">
        <v>92</v>
      </c>
      <c r="EA20" s="1">
        <v>24543</v>
      </c>
      <c r="EB20" t="s">
        <v>92</v>
      </c>
      <c r="EC20" t="s">
        <v>92</v>
      </c>
      <c r="ED20" t="s">
        <v>92</v>
      </c>
      <c r="EE20" s="1">
        <v>25748</v>
      </c>
      <c r="EF20" t="s">
        <v>92</v>
      </c>
      <c r="EG20" t="s">
        <v>92</v>
      </c>
      <c r="EH20" t="s">
        <v>92</v>
      </c>
      <c r="EI20" s="1">
        <v>27209</v>
      </c>
      <c r="EJ20" t="s">
        <v>92</v>
      </c>
      <c r="EK20" t="s">
        <v>92</v>
      </c>
      <c r="EL20" t="s">
        <v>92</v>
      </c>
      <c r="EM20" s="1">
        <v>28531</v>
      </c>
      <c r="EN20" t="s">
        <v>92</v>
      </c>
      <c r="EO20" t="s">
        <v>92</v>
      </c>
      <c r="EP20" t="s">
        <v>92</v>
      </c>
      <c r="EQ20" s="1">
        <v>29388</v>
      </c>
      <c r="ER20" t="s">
        <v>92</v>
      </c>
      <c r="ES20" t="s">
        <v>92</v>
      </c>
      <c r="ET20" t="s">
        <v>92</v>
      </c>
      <c r="EU20" s="1">
        <v>29750</v>
      </c>
      <c r="EV20" t="s">
        <v>92</v>
      </c>
      <c r="EW20" t="s">
        <v>92</v>
      </c>
      <c r="EX20" t="s">
        <v>92</v>
      </c>
      <c r="EY20" s="1">
        <v>30596</v>
      </c>
      <c r="EZ20" s="1">
        <v>29914</v>
      </c>
      <c r="FA20" s="1">
        <v>30125</v>
      </c>
      <c r="FB20" s="1">
        <v>31574</v>
      </c>
      <c r="FC20" s="1">
        <v>32765</v>
      </c>
      <c r="FD20" s="1">
        <v>32615</v>
      </c>
      <c r="FE20" s="1">
        <v>34080</v>
      </c>
      <c r="FF20" s="1">
        <v>35075</v>
      </c>
      <c r="FG20" s="1">
        <v>34467</v>
      </c>
      <c r="FH20" s="1">
        <v>34725</v>
      </c>
      <c r="FI20" s="1">
        <v>35532</v>
      </c>
      <c r="FJ20" s="1">
        <v>36471</v>
      </c>
      <c r="FK20" s="1">
        <v>36042</v>
      </c>
      <c r="FL20" s="1">
        <v>35518</v>
      </c>
      <c r="FM20" s="1">
        <v>36000</v>
      </c>
      <c r="FN20" s="1">
        <v>36286</v>
      </c>
      <c r="FO20" s="1">
        <v>36432</v>
      </c>
      <c r="FP20" s="1">
        <v>35998</v>
      </c>
      <c r="FQ20" t="s">
        <v>92</v>
      </c>
      <c r="FR20" t="s">
        <v>92</v>
      </c>
      <c r="FS20" t="s">
        <v>92</v>
      </c>
      <c r="FT20" s="1">
        <v>35488</v>
      </c>
      <c r="FU20" t="s">
        <v>92</v>
      </c>
      <c r="FV20" t="s">
        <v>92</v>
      </c>
      <c r="FW20" t="s">
        <v>92</v>
      </c>
      <c r="FX20" s="1">
        <v>35778</v>
      </c>
      <c r="FY20" t="s">
        <v>92</v>
      </c>
      <c r="FZ20" t="s">
        <v>92</v>
      </c>
      <c r="GA20" t="s">
        <v>92</v>
      </c>
      <c r="GB20" s="1">
        <v>36306</v>
      </c>
      <c r="GC20" t="s">
        <v>92</v>
      </c>
      <c r="GD20" t="s">
        <v>92</v>
      </c>
      <c r="GE20" t="s">
        <v>92</v>
      </c>
      <c r="GF20" s="1">
        <v>37005</v>
      </c>
      <c r="GG20" t="s">
        <v>92</v>
      </c>
      <c r="GH20" t="s">
        <v>92</v>
      </c>
      <c r="GI20" t="s">
        <v>92</v>
      </c>
      <c r="GJ20" s="1">
        <v>38226</v>
      </c>
      <c r="GK20" t="s">
        <v>92</v>
      </c>
      <c r="GL20" t="s">
        <v>92</v>
      </c>
      <c r="GM20" t="s">
        <v>92</v>
      </c>
      <c r="GN20" s="1">
        <v>39623</v>
      </c>
      <c r="GO20" t="s">
        <v>92</v>
      </c>
      <c r="GP20" t="s">
        <v>92</v>
      </c>
      <c r="GQ20" t="s">
        <v>92</v>
      </c>
      <c r="GR20" s="1">
        <v>41391</v>
      </c>
      <c r="GS20" t="s">
        <v>92</v>
      </c>
      <c r="GT20" t="s">
        <v>92</v>
      </c>
      <c r="GU20" t="s">
        <v>92</v>
      </c>
      <c r="GV20" s="1">
        <v>42393</v>
      </c>
      <c r="GW20" t="s">
        <v>92</v>
      </c>
      <c r="GX20" t="s">
        <v>92</v>
      </c>
      <c r="GY20" t="s">
        <v>92</v>
      </c>
      <c r="GZ20" s="1">
        <v>43959</v>
      </c>
      <c r="HA20" t="s">
        <v>92</v>
      </c>
      <c r="HB20" t="s">
        <v>92</v>
      </c>
      <c r="HC20" t="s">
        <v>92</v>
      </c>
      <c r="HD20" s="1">
        <v>45054</v>
      </c>
      <c r="HE20" s="1">
        <v>43775</v>
      </c>
      <c r="HF20" s="1">
        <v>44853</v>
      </c>
      <c r="HG20" s="1">
        <v>46954</v>
      </c>
      <c r="HH20" s="1">
        <v>46051</v>
      </c>
      <c r="HI20" s="1">
        <v>47067</v>
      </c>
      <c r="HJ20" s="1">
        <v>48605</v>
      </c>
      <c r="HK20" s="1">
        <v>50867</v>
      </c>
      <c r="HL20" s="1">
        <v>50625</v>
      </c>
      <c r="HM20" s="1">
        <v>51154</v>
      </c>
      <c r="HN20" s="1">
        <v>52453</v>
      </c>
      <c r="HO20" s="1">
        <v>51621</v>
      </c>
      <c r="HP20" s="1">
        <v>51777</v>
      </c>
      <c r="HQ20" s="1">
        <v>50998</v>
      </c>
      <c r="HR20" s="1">
        <v>51894</v>
      </c>
      <c r="HS20" s="1">
        <v>51570</v>
      </c>
      <c r="HT20" s="1">
        <v>52066</v>
      </c>
      <c r="HU20" s="1">
        <v>51463</v>
      </c>
      <c r="HV20" t="s">
        <v>92</v>
      </c>
      <c r="HW20" t="s">
        <v>92</v>
      </c>
      <c r="HX20" t="s">
        <v>92</v>
      </c>
      <c r="HY20" s="1">
        <v>45876</v>
      </c>
      <c r="HZ20" t="s">
        <v>92</v>
      </c>
      <c r="IA20" t="s">
        <v>92</v>
      </c>
      <c r="IB20" t="s">
        <v>92</v>
      </c>
      <c r="IC20" s="1">
        <v>46065</v>
      </c>
      <c r="ID20" t="s">
        <v>92</v>
      </c>
      <c r="IE20" t="s">
        <v>92</v>
      </c>
      <c r="IF20" t="s">
        <v>92</v>
      </c>
      <c r="IG20" s="1">
        <v>47096</v>
      </c>
      <c r="IH20" t="s">
        <v>92</v>
      </c>
      <c r="II20" t="s">
        <v>92</v>
      </c>
      <c r="IJ20" t="s">
        <v>92</v>
      </c>
      <c r="IK20" s="1">
        <v>49023</v>
      </c>
      <c r="IL20" t="s">
        <v>92</v>
      </c>
      <c r="IM20" t="s">
        <v>92</v>
      </c>
      <c r="IN20" t="s">
        <v>92</v>
      </c>
      <c r="IO20" s="1">
        <v>52005</v>
      </c>
      <c r="IP20" t="s">
        <v>92</v>
      </c>
      <c r="IQ20" t="s">
        <v>92</v>
      </c>
      <c r="IR20" t="s">
        <v>92</v>
      </c>
      <c r="IS20" s="1">
        <v>55375</v>
      </c>
      <c r="IT20" t="s">
        <v>92</v>
      </c>
      <c r="IU20" t="s">
        <v>92</v>
      </c>
      <c r="IV20" t="s">
        <v>92</v>
      </c>
      <c r="IW20" s="1">
        <v>58420</v>
      </c>
      <c r="IX20" t="s">
        <v>92</v>
      </c>
      <c r="IY20" t="s">
        <v>92</v>
      </c>
      <c r="IZ20" t="s">
        <v>92</v>
      </c>
      <c r="JA20" s="1">
        <v>59990</v>
      </c>
      <c r="JB20" t="s">
        <v>92</v>
      </c>
      <c r="JC20" t="s">
        <v>92</v>
      </c>
      <c r="JD20" t="s">
        <v>92</v>
      </c>
      <c r="JE20" s="1">
        <v>58721</v>
      </c>
      <c r="JF20" t="s">
        <v>92</v>
      </c>
      <c r="JG20" t="s">
        <v>92</v>
      </c>
      <c r="JH20" t="s">
        <v>92</v>
      </c>
      <c r="JI20" s="1">
        <v>59277</v>
      </c>
      <c r="JJ20" s="1">
        <v>57601</v>
      </c>
      <c r="JK20" s="1">
        <v>56925</v>
      </c>
      <c r="JL20" s="1">
        <v>59897</v>
      </c>
      <c r="JM20" s="1">
        <v>60463</v>
      </c>
      <c r="JN20" s="1">
        <v>61830</v>
      </c>
      <c r="JO20" s="1">
        <v>64075</v>
      </c>
      <c r="JP20" s="1">
        <v>66394</v>
      </c>
      <c r="JQ20" s="1">
        <v>64939</v>
      </c>
      <c r="JR20" s="1">
        <v>65958</v>
      </c>
      <c r="JS20" s="1">
        <v>68199</v>
      </c>
      <c r="JT20" s="1">
        <v>68868</v>
      </c>
      <c r="JU20" s="1">
        <v>67326</v>
      </c>
      <c r="JV20" s="1">
        <v>66173</v>
      </c>
      <c r="JW20" s="1">
        <v>67330</v>
      </c>
      <c r="JX20" s="1">
        <v>68544</v>
      </c>
      <c r="JY20" s="1">
        <v>67691</v>
      </c>
      <c r="JZ20" s="1">
        <v>67065</v>
      </c>
      <c r="KA20" t="s">
        <v>92</v>
      </c>
      <c r="KB20" t="s">
        <v>92</v>
      </c>
      <c r="KC20" t="s">
        <v>92</v>
      </c>
      <c r="KD20" s="1">
        <v>81390</v>
      </c>
      <c r="KE20" t="s">
        <v>92</v>
      </c>
      <c r="KF20" t="s">
        <v>92</v>
      </c>
      <c r="KG20" t="s">
        <v>92</v>
      </c>
      <c r="KH20" s="1">
        <v>81925</v>
      </c>
      <c r="KI20" t="s">
        <v>92</v>
      </c>
      <c r="KJ20" t="s">
        <v>92</v>
      </c>
      <c r="KK20" t="s">
        <v>92</v>
      </c>
      <c r="KL20" s="1">
        <v>83178</v>
      </c>
      <c r="KM20" t="s">
        <v>92</v>
      </c>
      <c r="KN20" t="s">
        <v>92</v>
      </c>
      <c r="KO20" t="s">
        <v>92</v>
      </c>
      <c r="KP20" s="1">
        <v>84706</v>
      </c>
      <c r="KQ20" t="s">
        <v>92</v>
      </c>
      <c r="KR20" t="s">
        <v>92</v>
      </c>
      <c r="KS20" t="s">
        <v>92</v>
      </c>
      <c r="KT20" s="1">
        <v>87041</v>
      </c>
      <c r="KU20" t="s">
        <v>92</v>
      </c>
      <c r="KV20" t="s">
        <v>92</v>
      </c>
      <c r="KW20" t="s">
        <v>92</v>
      </c>
      <c r="KX20" s="1">
        <v>89890</v>
      </c>
      <c r="KY20" t="s">
        <v>92</v>
      </c>
      <c r="KZ20" t="s">
        <v>92</v>
      </c>
      <c r="LA20" t="s">
        <v>92</v>
      </c>
      <c r="LB20" s="1">
        <v>93059</v>
      </c>
      <c r="LC20" t="s">
        <v>92</v>
      </c>
      <c r="LD20" t="s">
        <v>92</v>
      </c>
      <c r="LE20" t="s">
        <v>92</v>
      </c>
      <c r="LF20" s="1">
        <v>94763</v>
      </c>
      <c r="LG20" t="s">
        <v>92</v>
      </c>
      <c r="LH20" t="s">
        <v>92</v>
      </c>
      <c r="LI20" t="s">
        <v>92</v>
      </c>
      <c r="LJ20" s="1">
        <v>96354</v>
      </c>
      <c r="LK20" t="s">
        <v>92</v>
      </c>
      <c r="LL20" t="s">
        <v>92</v>
      </c>
      <c r="LM20" t="s">
        <v>92</v>
      </c>
      <c r="LN20" s="1">
        <v>97833</v>
      </c>
      <c r="LO20" s="1">
        <v>95809</v>
      </c>
      <c r="LP20" s="1">
        <v>95861</v>
      </c>
      <c r="LQ20" s="1">
        <v>100371</v>
      </c>
      <c r="LR20" s="1">
        <v>100314</v>
      </c>
      <c r="LS20" s="1">
        <v>101973</v>
      </c>
      <c r="LT20" s="1">
        <v>105779</v>
      </c>
      <c r="LU20" s="1">
        <v>109511</v>
      </c>
      <c r="LV20" s="1">
        <v>107406</v>
      </c>
      <c r="LW20" s="1">
        <v>108177</v>
      </c>
      <c r="LX20" s="1">
        <v>111882</v>
      </c>
      <c r="LY20" s="1">
        <v>113014</v>
      </c>
      <c r="LZ20" s="1">
        <v>112206</v>
      </c>
      <c r="MA20" s="1">
        <v>110261</v>
      </c>
      <c r="MB20" s="1">
        <v>111897</v>
      </c>
      <c r="MC20" s="1">
        <v>112871</v>
      </c>
      <c r="MD20" s="1">
        <v>113426</v>
      </c>
      <c r="ME20" s="1">
        <v>111530</v>
      </c>
    </row>
    <row r="21" spans="1:343" x14ac:dyDescent="0.25">
      <c r="A21" t="s">
        <v>344</v>
      </c>
      <c r="B21" t="s">
        <v>92</v>
      </c>
      <c r="C21" t="s">
        <v>92</v>
      </c>
      <c r="D21" t="s">
        <v>92</v>
      </c>
      <c r="E21" s="1">
        <v>115012</v>
      </c>
      <c r="F21" t="s">
        <v>92</v>
      </c>
      <c r="G21" t="s">
        <v>92</v>
      </c>
      <c r="H21" t="s">
        <v>92</v>
      </c>
      <c r="I21" s="1">
        <v>119307</v>
      </c>
      <c r="J21" t="s">
        <v>92</v>
      </c>
      <c r="K21" t="s">
        <v>92</v>
      </c>
      <c r="L21" t="s">
        <v>92</v>
      </c>
      <c r="M21" s="1">
        <v>123197</v>
      </c>
      <c r="N21" t="s">
        <v>92</v>
      </c>
      <c r="O21" t="s">
        <v>92</v>
      </c>
      <c r="P21" t="s">
        <v>92</v>
      </c>
      <c r="Q21" s="1">
        <v>126848</v>
      </c>
      <c r="R21" t="s">
        <v>92</v>
      </c>
      <c r="S21" t="s">
        <v>92</v>
      </c>
      <c r="T21" t="s">
        <v>92</v>
      </c>
      <c r="U21" s="1">
        <v>131161</v>
      </c>
      <c r="V21" t="s">
        <v>92</v>
      </c>
      <c r="W21" t="s">
        <v>92</v>
      </c>
      <c r="X21" t="s">
        <v>92</v>
      </c>
      <c r="Y21" s="1">
        <v>137567</v>
      </c>
      <c r="Z21" t="s">
        <v>92</v>
      </c>
      <c r="AA21" t="s">
        <v>92</v>
      </c>
      <c r="AB21" t="s">
        <v>92</v>
      </c>
      <c r="AC21" s="1">
        <v>143303</v>
      </c>
      <c r="AD21" t="s">
        <v>92</v>
      </c>
      <c r="AE21" t="s">
        <v>92</v>
      </c>
      <c r="AF21" t="s">
        <v>92</v>
      </c>
      <c r="AG21" s="1">
        <v>147733</v>
      </c>
      <c r="AH21" t="s">
        <v>92</v>
      </c>
      <c r="AI21" t="s">
        <v>92</v>
      </c>
      <c r="AJ21" t="s">
        <v>92</v>
      </c>
      <c r="AK21" s="1">
        <v>150205</v>
      </c>
      <c r="AL21" t="s">
        <v>92</v>
      </c>
      <c r="AM21" t="s">
        <v>92</v>
      </c>
      <c r="AN21" t="s">
        <v>92</v>
      </c>
      <c r="AO21" s="1">
        <v>153507</v>
      </c>
      <c r="AP21" s="1">
        <v>152035</v>
      </c>
      <c r="AQ21" s="1">
        <v>154276</v>
      </c>
      <c r="AR21" s="1">
        <v>158348</v>
      </c>
      <c r="AS21" s="1">
        <v>158144</v>
      </c>
      <c r="AT21" s="1">
        <v>160006</v>
      </c>
      <c r="AU21" s="1">
        <v>166121</v>
      </c>
      <c r="AV21" s="1">
        <v>170512</v>
      </c>
      <c r="AW21" s="1">
        <v>167306</v>
      </c>
      <c r="AX21" s="1">
        <v>169208</v>
      </c>
      <c r="AY21" s="1">
        <v>173065</v>
      </c>
      <c r="AZ21" s="1">
        <v>174757</v>
      </c>
      <c r="BA21" s="1">
        <v>175000</v>
      </c>
      <c r="BB21" s="1">
        <v>174272</v>
      </c>
      <c r="BC21" s="1">
        <v>175861</v>
      </c>
      <c r="BD21" s="1">
        <v>176612</v>
      </c>
      <c r="BE21" s="1">
        <v>176803</v>
      </c>
      <c r="BF21" s="1">
        <v>176880</v>
      </c>
      <c r="BG21" t="s">
        <v>92</v>
      </c>
      <c r="BH21" t="s">
        <v>92</v>
      </c>
      <c r="BI21" t="s">
        <v>92</v>
      </c>
      <c r="BJ21" s="1">
        <v>69348</v>
      </c>
      <c r="BK21" t="s">
        <v>92</v>
      </c>
      <c r="BL21" t="s">
        <v>92</v>
      </c>
      <c r="BM21" t="s">
        <v>92</v>
      </c>
      <c r="BN21" s="1">
        <v>70175</v>
      </c>
      <c r="BO21" t="s">
        <v>92</v>
      </c>
      <c r="BP21" t="s">
        <v>92</v>
      </c>
      <c r="BQ21" t="s">
        <v>92</v>
      </c>
      <c r="BR21" s="1">
        <v>67744</v>
      </c>
      <c r="BS21" t="s">
        <v>92</v>
      </c>
      <c r="BT21" t="s">
        <v>92</v>
      </c>
      <c r="BU21" t="s">
        <v>92</v>
      </c>
      <c r="BV21" s="1">
        <v>64658</v>
      </c>
      <c r="BW21" t="s">
        <v>92</v>
      </c>
      <c r="BX21" t="s">
        <v>92</v>
      </c>
      <c r="BY21" t="s">
        <v>92</v>
      </c>
      <c r="BZ21" s="1">
        <v>63479</v>
      </c>
      <c r="CA21" t="s">
        <v>92</v>
      </c>
      <c r="CB21" t="s">
        <v>92</v>
      </c>
      <c r="CC21" t="s">
        <v>92</v>
      </c>
      <c r="CD21" s="1">
        <v>64155</v>
      </c>
      <c r="CE21" t="s">
        <v>92</v>
      </c>
      <c r="CF21" t="s">
        <v>92</v>
      </c>
      <c r="CG21" t="s">
        <v>92</v>
      </c>
      <c r="CH21" s="1">
        <v>62588</v>
      </c>
      <c r="CI21" t="s">
        <v>92</v>
      </c>
      <c r="CJ21" t="s">
        <v>92</v>
      </c>
      <c r="CK21" t="s">
        <v>92</v>
      </c>
      <c r="CL21" s="1">
        <v>62840</v>
      </c>
      <c r="CM21" t="s">
        <v>92</v>
      </c>
      <c r="CN21" t="s">
        <v>92</v>
      </c>
      <c r="CO21" t="s">
        <v>92</v>
      </c>
      <c r="CP21" s="1">
        <v>74617</v>
      </c>
      <c r="CQ21" t="s">
        <v>92</v>
      </c>
      <c r="CR21" t="s">
        <v>92</v>
      </c>
      <c r="CS21" t="s">
        <v>92</v>
      </c>
      <c r="CT21" s="1">
        <v>77198</v>
      </c>
      <c r="CU21" s="1">
        <v>73930</v>
      </c>
      <c r="CV21" s="1">
        <v>72334</v>
      </c>
      <c r="CW21" s="1">
        <v>71023</v>
      </c>
      <c r="CX21" s="1">
        <v>63226</v>
      </c>
      <c r="CY21" s="1">
        <v>50636</v>
      </c>
      <c r="CZ21" s="1">
        <v>50627</v>
      </c>
      <c r="DA21" s="1">
        <v>45783</v>
      </c>
      <c r="DB21" s="1">
        <v>39852</v>
      </c>
      <c r="DC21" s="1">
        <v>39101</v>
      </c>
      <c r="DD21" s="1">
        <v>47255</v>
      </c>
      <c r="DE21" s="1">
        <v>57554</v>
      </c>
      <c r="DF21" s="1">
        <v>59760</v>
      </c>
      <c r="DG21" s="1">
        <v>55460</v>
      </c>
      <c r="DH21" s="1">
        <v>55528</v>
      </c>
      <c r="DI21" s="1">
        <v>58758</v>
      </c>
      <c r="DJ21" s="1">
        <v>61735</v>
      </c>
      <c r="DK21" s="1">
        <v>58482</v>
      </c>
      <c r="DL21" t="s">
        <v>92</v>
      </c>
      <c r="DM21" t="s">
        <v>92</v>
      </c>
      <c r="DN21" t="s">
        <v>92</v>
      </c>
      <c r="DO21" s="1">
        <v>93872</v>
      </c>
      <c r="DP21" t="s">
        <v>92</v>
      </c>
      <c r="DQ21" t="s">
        <v>92</v>
      </c>
      <c r="DR21" t="s">
        <v>92</v>
      </c>
      <c r="DS21" s="1">
        <v>97552</v>
      </c>
      <c r="DT21" t="s">
        <v>92</v>
      </c>
      <c r="DU21" t="s">
        <v>92</v>
      </c>
      <c r="DV21" t="s">
        <v>92</v>
      </c>
      <c r="DW21" s="1">
        <v>102730</v>
      </c>
      <c r="DX21" t="s">
        <v>92</v>
      </c>
      <c r="DY21" t="s">
        <v>92</v>
      </c>
      <c r="DZ21" t="s">
        <v>92</v>
      </c>
      <c r="EA21" s="1">
        <v>105945</v>
      </c>
      <c r="EB21" t="s">
        <v>92</v>
      </c>
      <c r="EC21" t="s">
        <v>92</v>
      </c>
      <c r="ED21" t="s">
        <v>92</v>
      </c>
      <c r="EE21" s="1">
        <v>105664</v>
      </c>
      <c r="EF21" t="s">
        <v>92</v>
      </c>
      <c r="EG21" t="s">
        <v>92</v>
      </c>
      <c r="EH21" t="s">
        <v>92</v>
      </c>
      <c r="EI21" s="1">
        <v>109601</v>
      </c>
      <c r="EJ21" t="s">
        <v>92</v>
      </c>
      <c r="EK21" t="s">
        <v>92</v>
      </c>
      <c r="EL21" t="s">
        <v>92</v>
      </c>
      <c r="EM21" s="1">
        <v>113176</v>
      </c>
      <c r="EN21" t="s">
        <v>92</v>
      </c>
      <c r="EO21" t="s">
        <v>92</v>
      </c>
      <c r="EP21" t="s">
        <v>92</v>
      </c>
      <c r="EQ21" s="1">
        <v>116721</v>
      </c>
      <c r="ER21" t="s">
        <v>92</v>
      </c>
      <c r="ES21" t="s">
        <v>92</v>
      </c>
      <c r="ET21" t="s">
        <v>92</v>
      </c>
      <c r="EU21" s="1">
        <v>119385</v>
      </c>
      <c r="EV21" t="s">
        <v>92</v>
      </c>
      <c r="EW21" t="s">
        <v>92</v>
      </c>
      <c r="EX21" t="s">
        <v>92</v>
      </c>
      <c r="EY21" s="1">
        <v>124875</v>
      </c>
      <c r="EZ21" s="1">
        <v>124404</v>
      </c>
      <c r="FA21" s="1">
        <v>124529</v>
      </c>
      <c r="FB21" s="1">
        <v>127702</v>
      </c>
      <c r="FC21" s="1">
        <v>125663</v>
      </c>
      <c r="FD21" s="1">
        <v>128701</v>
      </c>
      <c r="FE21" s="1">
        <v>131891</v>
      </c>
      <c r="FF21" s="1">
        <v>134743</v>
      </c>
      <c r="FG21" s="1">
        <v>128423</v>
      </c>
      <c r="FH21" s="1">
        <v>128705</v>
      </c>
      <c r="FI21" s="1">
        <v>135811</v>
      </c>
      <c r="FJ21" s="1">
        <v>135058</v>
      </c>
      <c r="FK21" s="1">
        <v>137028</v>
      </c>
      <c r="FL21" s="1">
        <v>136236</v>
      </c>
      <c r="FM21" s="1">
        <v>136550</v>
      </c>
      <c r="FN21" s="1">
        <v>137163</v>
      </c>
      <c r="FO21" s="1">
        <v>140604</v>
      </c>
      <c r="FP21" s="1">
        <v>138800</v>
      </c>
      <c r="FQ21" t="s">
        <v>92</v>
      </c>
      <c r="FR21" t="s">
        <v>92</v>
      </c>
      <c r="FS21" t="s">
        <v>92</v>
      </c>
      <c r="FT21" s="1">
        <v>137420</v>
      </c>
      <c r="FU21" t="s">
        <v>92</v>
      </c>
      <c r="FV21" t="s">
        <v>92</v>
      </c>
      <c r="FW21" t="s">
        <v>92</v>
      </c>
      <c r="FX21" s="1">
        <v>145298</v>
      </c>
      <c r="FY21" t="s">
        <v>92</v>
      </c>
      <c r="FZ21" t="s">
        <v>92</v>
      </c>
      <c r="GA21" t="s">
        <v>92</v>
      </c>
      <c r="GB21" s="1">
        <v>149805</v>
      </c>
      <c r="GC21" t="s">
        <v>92</v>
      </c>
      <c r="GD21" t="s">
        <v>92</v>
      </c>
      <c r="GE21" t="s">
        <v>92</v>
      </c>
      <c r="GF21" s="1">
        <v>152263</v>
      </c>
      <c r="GG21" t="s">
        <v>92</v>
      </c>
      <c r="GH21" t="s">
        <v>92</v>
      </c>
      <c r="GI21" t="s">
        <v>92</v>
      </c>
      <c r="GJ21" s="1">
        <v>158280</v>
      </c>
      <c r="GK21" t="s">
        <v>92</v>
      </c>
      <c r="GL21" t="s">
        <v>92</v>
      </c>
      <c r="GM21" t="s">
        <v>92</v>
      </c>
      <c r="GN21" s="1">
        <v>162925</v>
      </c>
      <c r="GO21" t="s">
        <v>92</v>
      </c>
      <c r="GP21" t="s">
        <v>92</v>
      </c>
      <c r="GQ21" t="s">
        <v>92</v>
      </c>
      <c r="GR21" s="1">
        <v>167980</v>
      </c>
      <c r="GS21" t="s">
        <v>92</v>
      </c>
      <c r="GT21" t="s">
        <v>92</v>
      </c>
      <c r="GU21" t="s">
        <v>92</v>
      </c>
      <c r="GV21" s="1">
        <v>171927</v>
      </c>
      <c r="GW21" t="s">
        <v>92</v>
      </c>
      <c r="GX21" t="s">
        <v>92</v>
      </c>
      <c r="GY21" t="s">
        <v>92</v>
      </c>
      <c r="GZ21" s="1">
        <v>171801</v>
      </c>
      <c r="HA21" t="s">
        <v>92</v>
      </c>
      <c r="HB21" t="s">
        <v>92</v>
      </c>
      <c r="HC21" t="s">
        <v>92</v>
      </c>
      <c r="HD21" s="1">
        <v>170560</v>
      </c>
      <c r="HE21" s="1">
        <v>167360</v>
      </c>
      <c r="HF21" s="1">
        <v>174456</v>
      </c>
      <c r="HG21" s="1">
        <v>179696</v>
      </c>
      <c r="HH21" s="1">
        <v>176103</v>
      </c>
      <c r="HI21" s="1">
        <v>180576</v>
      </c>
      <c r="HJ21" s="1">
        <v>190586</v>
      </c>
      <c r="HK21" s="1">
        <v>199708</v>
      </c>
      <c r="HL21" s="1">
        <v>199803</v>
      </c>
      <c r="HM21" s="1">
        <v>202633</v>
      </c>
      <c r="HN21" s="1">
        <v>202936</v>
      </c>
      <c r="HO21" s="1">
        <v>206165</v>
      </c>
      <c r="HP21" s="1">
        <v>204509</v>
      </c>
      <c r="HQ21" s="1">
        <v>204450</v>
      </c>
      <c r="HR21" s="1">
        <v>206609</v>
      </c>
      <c r="HS21" s="1">
        <v>207316</v>
      </c>
      <c r="HT21" s="1">
        <v>202310</v>
      </c>
      <c r="HU21" s="1">
        <v>205220</v>
      </c>
      <c r="HV21" t="s">
        <v>92</v>
      </c>
      <c r="HW21" t="s">
        <v>92</v>
      </c>
      <c r="HX21" t="s">
        <v>92</v>
      </c>
      <c r="HY21" s="1">
        <v>126735</v>
      </c>
      <c r="HZ21" t="s">
        <v>92</v>
      </c>
      <c r="IA21" t="s">
        <v>92</v>
      </c>
      <c r="IB21" t="s">
        <v>92</v>
      </c>
      <c r="IC21" s="1">
        <v>129195</v>
      </c>
      <c r="ID21" t="s">
        <v>92</v>
      </c>
      <c r="IE21" t="s">
        <v>92</v>
      </c>
      <c r="IF21" t="s">
        <v>92</v>
      </c>
      <c r="IG21" s="1">
        <v>134935</v>
      </c>
      <c r="IH21" t="s">
        <v>92</v>
      </c>
      <c r="II21" t="s">
        <v>92</v>
      </c>
      <c r="IJ21" t="s">
        <v>92</v>
      </c>
      <c r="IK21" s="1">
        <v>141536</v>
      </c>
      <c r="IL21" t="s">
        <v>92</v>
      </c>
      <c r="IM21" t="s">
        <v>92</v>
      </c>
      <c r="IN21" t="s">
        <v>92</v>
      </c>
      <c r="IO21" s="1">
        <v>147918</v>
      </c>
      <c r="IP21" t="s">
        <v>92</v>
      </c>
      <c r="IQ21" t="s">
        <v>92</v>
      </c>
      <c r="IR21" t="s">
        <v>92</v>
      </c>
      <c r="IS21" s="1">
        <v>156717</v>
      </c>
      <c r="IT21" t="s">
        <v>92</v>
      </c>
      <c r="IU21" t="s">
        <v>92</v>
      </c>
      <c r="IV21" t="s">
        <v>92</v>
      </c>
      <c r="IW21" s="1">
        <v>164820</v>
      </c>
      <c r="IX21" t="s">
        <v>92</v>
      </c>
      <c r="IY21" t="s">
        <v>92</v>
      </c>
      <c r="IZ21" t="s">
        <v>92</v>
      </c>
      <c r="JA21" s="1">
        <v>170462</v>
      </c>
      <c r="JB21" t="s">
        <v>92</v>
      </c>
      <c r="JC21" t="s">
        <v>92</v>
      </c>
      <c r="JD21" t="s">
        <v>92</v>
      </c>
      <c r="JE21" s="1">
        <v>172111</v>
      </c>
      <c r="JF21" t="s">
        <v>92</v>
      </c>
      <c r="JG21" t="s">
        <v>92</v>
      </c>
      <c r="JH21" t="s">
        <v>92</v>
      </c>
      <c r="JI21" s="1">
        <v>181858</v>
      </c>
      <c r="JJ21" s="1">
        <v>183808</v>
      </c>
      <c r="JK21" s="1">
        <v>185726</v>
      </c>
      <c r="JL21" s="1">
        <v>192517</v>
      </c>
      <c r="JM21" s="1">
        <v>201380</v>
      </c>
      <c r="JN21" s="1">
        <v>208226</v>
      </c>
      <c r="JO21" s="1">
        <v>216915</v>
      </c>
      <c r="JP21" s="1">
        <v>223080</v>
      </c>
      <c r="JQ21" s="1">
        <v>217136</v>
      </c>
      <c r="JR21" s="1">
        <v>215799</v>
      </c>
      <c r="JS21" s="1">
        <v>226074</v>
      </c>
      <c r="JT21" s="1">
        <v>223911</v>
      </c>
      <c r="JU21" s="1">
        <v>223973</v>
      </c>
      <c r="JV21" s="1">
        <v>223858</v>
      </c>
      <c r="JW21" s="1">
        <v>226372</v>
      </c>
      <c r="JX21" s="1">
        <v>226087</v>
      </c>
      <c r="JY21" s="1">
        <v>227664</v>
      </c>
      <c r="JZ21" s="1">
        <v>229131</v>
      </c>
      <c r="KA21" t="s">
        <v>92</v>
      </c>
      <c r="KB21" t="s">
        <v>92</v>
      </c>
      <c r="KC21" t="s">
        <v>92</v>
      </c>
      <c r="KD21" s="1">
        <v>147682</v>
      </c>
      <c r="KE21" t="s">
        <v>92</v>
      </c>
      <c r="KF21" t="s">
        <v>92</v>
      </c>
      <c r="KG21" t="s">
        <v>92</v>
      </c>
      <c r="KH21" s="1">
        <v>154314</v>
      </c>
      <c r="KI21" t="s">
        <v>92</v>
      </c>
      <c r="KJ21" t="s">
        <v>92</v>
      </c>
      <c r="KK21" t="s">
        <v>92</v>
      </c>
      <c r="KL21" s="1">
        <v>160772</v>
      </c>
      <c r="KM21" t="s">
        <v>92</v>
      </c>
      <c r="KN21" t="s">
        <v>92</v>
      </c>
      <c r="KO21" t="s">
        <v>92</v>
      </c>
      <c r="KP21" s="1">
        <v>169840</v>
      </c>
      <c r="KQ21" t="s">
        <v>92</v>
      </c>
      <c r="KR21" t="s">
        <v>92</v>
      </c>
      <c r="KS21" t="s">
        <v>92</v>
      </c>
      <c r="KT21" s="1">
        <v>180461</v>
      </c>
      <c r="KU21" t="s">
        <v>92</v>
      </c>
      <c r="KV21" t="s">
        <v>92</v>
      </c>
      <c r="KW21" t="s">
        <v>92</v>
      </c>
      <c r="KX21" s="1">
        <v>194439</v>
      </c>
      <c r="KY21" t="s">
        <v>92</v>
      </c>
      <c r="KZ21" t="s">
        <v>92</v>
      </c>
      <c r="LA21" t="s">
        <v>92</v>
      </c>
      <c r="LB21" s="1">
        <v>207951</v>
      </c>
      <c r="LC21" t="s">
        <v>92</v>
      </c>
      <c r="LD21" t="s">
        <v>92</v>
      </c>
      <c r="LE21" t="s">
        <v>92</v>
      </c>
      <c r="LF21" s="1">
        <v>216713</v>
      </c>
      <c r="LG21" t="s">
        <v>92</v>
      </c>
      <c r="LH21" t="s">
        <v>92</v>
      </c>
      <c r="LI21" t="s">
        <v>92</v>
      </c>
      <c r="LJ21" s="1">
        <v>213110</v>
      </c>
      <c r="LK21" t="s">
        <v>92</v>
      </c>
      <c r="LL21" t="s">
        <v>92</v>
      </c>
      <c r="LM21" t="s">
        <v>92</v>
      </c>
      <c r="LN21" s="1">
        <v>213043</v>
      </c>
      <c r="LO21" s="1">
        <v>210673</v>
      </c>
      <c r="LP21" s="1">
        <v>214333</v>
      </c>
      <c r="LQ21" s="1">
        <v>220802</v>
      </c>
      <c r="LR21" s="1">
        <v>224350</v>
      </c>
      <c r="LS21" s="1">
        <v>231891</v>
      </c>
      <c r="LT21" s="1">
        <v>240584</v>
      </c>
      <c r="LU21" s="1">
        <v>249244</v>
      </c>
      <c r="LV21" s="1">
        <v>251315</v>
      </c>
      <c r="LW21" s="1">
        <v>259802</v>
      </c>
      <c r="LX21" s="1">
        <v>253250</v>
      </c>
      <c r="LY21" s="1">
        <v>251100</v>
      </c>
      <c r="LZ21" s="1">
        <v>249731</v>
      </c>
      <c r="MA21" s="1">
        <v>251354</v>
      </c>
      <c r="MB21" s="1">
        <v>254246</v>
      </c>
      <c r="MC21" s="1">
        <v>253735</v>
      </c>
      <c r="MD21" s="1">
        <v>251705</v>
      </c>
      <c r="ME21" s="1">
        <v>252767</v>
      </c>
    </row>
    <row r="22" spans="1:343" x14ac:dyDescent="0.25">
      <c r="A22" t="s">
        <v>345</v>
      </c>
      <c r="B22" t="s">
        <v>92</v>
      </c>
      <c r="C22" t="s">
        <v>92</v>
      </c>
      <c r="D22" t="s">
        <v>92</v>
      </c>
      <c r="E22" s="1">
        <v>72886</v>
      </c>
      <c r="F22" t="s">
        <v>92</v>
      </c>
      <c r="G22" t="s">
        <v>92</v>
      </c>
      <c r="H22" t="s">
        <v>92</v>
      </c>
      <c r="I22" s="1">
        <v>76603</v>
      </c>
      <c r="J22" t="s">
        <v>92</v>
      </c>
      <c r="K22" t="s">
        <v>92</v>
      </c>
      <c r="L22" t="s">
        <v>92</v>
      </c>
      <c r="M22" s="1">
        <v>79944</v>
      </c>
      <c r="N22" t="s">
        <v>92</v>
      </c>
      <c r="O22" t="s">
        <v>92</v>
      </c>
      <c r="P22" t="s">
        <v>92</v>
      </c>
      <c r="Q22" s="1">
        <v>82763</v>
      </c>
      <c r="R22" t="s">
        <v>92</v>
      </c>
      <c r="S22" t="s">
        <v>92</v>
      </c>
      <c r="T22" t="s">
        <v>92</v>
      </c>
      <c r="U22" s="1">
        <v>86075</v>
      </c>
      <c r="V22" t="s">
        <v>92</v>
      </c>
      <c r="W22" t="s">
        <v>92</v>
      </c>
      <c r="X22" t="s">
        <v>92</v>
      </c>
      <c r="Y22" s="1">
        <v>91635</v>
      </c>
      <c r="Z22" t="s">
        <v>92</v>
      </c>
      <c r="AA22" t="s">
        <v>92</v>
      </c>
      <c r="AB22" t="s">
        <v>92</v>
      </c>
      <c r="AC22" s="1">
        <v>96510</v>
      </c>
      <c r="AD22" t="s">
        <v>92</v>
      </c>
      <c r="AE22" t="s">
        <v>92</v>
      </c>
      <c r="AF22" t="s">
        <v>92</v>
      </c>
      <c r="AG22" s="1">
        <v>100099</v>
      </c>
      <c r="AH22" t="s">
        <v>92</v>
      </c>
      <c r="AI22" t="s">
        <v>92</v>
      </c>
      <c r="AJ22" t="s">
        <v>92</v>
      </c>
      <c r="AK22" s="1">
        <v>101965</v>
      </c>
      <c r="AL22" t="s">
        <v>92</v>
      </c>
      <c r="AM22" t="s">
        <v>92</v>
      </c>
      <c r="AN22" t="s">
        <v>92</v>
      </c>
      <c r="AO22" s="1">
        <v>105283</v>
      </c>
      <c r="AP22" s="1">
        <v>105378</v>
      </c>
      <c r="AQ22" s="1">
        <v>107902</v>
      </c>
      <c r="AR22" s="1">
        <v>111116</v>
      </c>
      <c r="AS22" s="1">
        <v>111888</v>
      </c>
      <c r="AT22" s="1">
        <v>114348</v>
      </c>
      <c r="AU22" s="1">
        <v>119528</v>
      </c>
      <c r="AV22" s="1">
        <v>123145</v>
      </c>
      <c r="AW22" s="1">
        <v>121419</v>
      </c>
      <c r="AX22" s="1">
        <v>123364</v>
      </c>
      <c r="AY22" s="1">
        <v>126400</v>
      </c>
      <c r="AZ22" s="1">
        <v>127804</v>
      </c>
      <c r="BA22" s="1">
        <v>128069</v>
      </c>
      <c r="BB22" s="1">
        <v>127940</v>
      </c>
      <c r="BC22" s="1">
        <v>128925</v>
      </c>
      <c r="BD22" s="1">
        <v>129504</v>
      </c>
      <c r="BE22" s="1">
        <v>129588</v>
      </c>
      <c r="BF22" s="1">
        <v>129685</v>
      </c>
      <c r="BG22" t="s">
        <v>92</v>
      </c>
      <c r="BH22" t="s">
        <v>92</v>
      </c>
      <c r="BI22" t="s">
        <v>92</v>
      </c>
      <c r="BJ22" s="1">
        <v>30440</v>
      </c>
      <c r="BK22" t="s">
        <v>92</v>
      </c>
      <c r="BL22" t="s">
        <v>92</v>
      </c>
      <c r="BM22" t="s">
        <v>92</v>
      </c>
      <c r="BN22" s="1">
        <v>31243</v>
      </c>
      <c r="BO22" t="s">
        <v>92</v>
      </c>
      <c r="BP22" t="s">
        <v>92</v>
      </c>
      <c r="BQ22" t="s">
        <v>92</v>
      </c>
      <c r="BR22" s="1">
        <v>29524</v>
      </c>
      <c r="BS22" t="s">
        <v>92</v>
      </c>
      <c r="BT22" t="s">
        <v>92</v>
      </c>
      <c r="BU22" t="s">
        <v>92</v>
      </c>
      <c r="BV22" s="1">
        <v>27000</v>
      </c>
      <c r="BW22" t="s">
        <v>92</v>
      </c>
      <c r="BX22" t="s">
        <v>92</v>
      </c>
      <c r="BY22" t="s">
        <v>92</v>
      </c>
      <c r="BZ22" s="1">
        <v>26054</v>
      </c>
      <c r="CA22" t="s">
        <v>92</v>
      </c>
      <c r="CB22" t="s">
        <v>92</v>
      </c>
      <c r="CC22" t="s">
        <v>92</v>
      </c>
      <c r="CD22" s="1">
        <v>25922</v>
      </c>
      <c r="CE22" t="s">
        <v>92</v>
      </c>
      <c r="CF22" t="s">
        <v>92</v>
      </c>
      <c r="CG22" t="s">
        <v>92</v>
      </c>
      <c r="CH22" s="1">
        <v>24277</v>
      </c>
      <c r="CI22" t="s">
        <v>92</v>
      </c>
      <c r="CJ22" t="s">
        <v>92</v>
      </c>
      <c r="CK22" t="s">
        <v>92</v>
      </c>
      <c r="CL22" s="1">
        <v>24623</v>
      </c>
      <c r="CM22" t="s">
        <v>92</v>
      </c>
      <c r="CN22" t="s">
        <v>92</v>
      </c>
      <c r="CO22" t="s">
        <v>92</v>
      </c>
      <c r="CP22" s="1">
        <v>33511</v>
      </c>
      <c r="CQ22" t="s">
        <v>92</v>
      </c>
      <c r="CR22" t="s">
        <v>92</v>
      </c>
      <c r="CS22" t="s">
        <v>92</v>
      </c>
      <c r="CT22" s="1">
        <v>35275</v>
      </c>
      <c r="CU22" s="1">
        <v>33835</v>
      </c>
      <c r="CV22" s="1">
        <v>33617</v>
      </c>
      <c r="CW22" s="1">
        <v>32513</v>
      </c>
      <c r="CX22" s="1">
        <v>27411</v>
      </c>
      <c r="CY22" s="1">
        <v>18338</v>
      </c>
      <c r="CZ22" s="1">
        <v>18430</v>
      </c>
      <c r="DA22" s="1">
        <v>14955</v>
      </c>
      <c r="DB22" s="1">
        <v>11019</v>
      </c>
      <c r="DC22" s="1">
        <v>10478</v>
      </c>
      <c r="DD22" s="1">
        <v>16596</v>
      </c>
      <c r="DE22" s="1">
        <v>24526</v>
      </c>
      <c r="DF22" s="1">
        <v>26412</v>
      </c>
      <c r="DG22" s="1">
        <v>23628</v>
      </c>
      <c r="DH22" s="1">
        <v>23403</v>
      </c>
      <c r="DI22" s="1">
        <v>25577</v>
      </c>
      <c r="DJ22" s="1">
        <v>27910</v>
      </c>
      <c r="DK22" s="1">
        <v>25516</v>
      </c>
      <c r="DL22" t="s">
        <v>92</v>
      </c>
      <c r="DM22" t="s">
        <v>92</v>
      </c>
      <c r="DN22" t="s">
        <v>92</v>
      </c>
      <c r="DO22" s="1">
        <v>64620</v>
      </c>
      <c r="DP22" t="s">
        <v>92</v>
      </c>
      <c r="DQ22" t="s">
        <v>92</v>
      </c>
      <c r="DR22" t="s">
        <v>92</v>
      </c>
      <c r="DS22" s="1">
        <v>68322</v>
      </c>
      <c r="DT22" t="s">
        <v>92</v>
      </c>
      <c r="DU22" t="s">
        <v>92</v>
      </c>
      <c r="DV22" t="s">
        <v>92</v>
      </c>
      <c r="DW22" s="1">
        <v>72417</v>
      </c>
      <c r="DX22" t="s">
        <v>92</v>
      </c>
      <c r="DY22" t="s">
        <v>92</v>
      </c>
      <c r="DZ22" t="s">
        <v>92</v>
      </c>
      <c r="EA22" s="1">
        <v>73786</v>
      </c>
      <c r="EB22" t="s">
        <v>92</v>
      </c>
      <c r="EC22" t="s">
        <v>92</v>
      </c>
      <c r="ED22" t="s">
        <v>92</v>
      </c>
      <c r="EE22" s="1">
        <v>72755</v>
      </c>
      <c r="EF22" t="s">
        <v>92</v>
      </c>
      <c r="EG22" t="s">
        <v>92</v>
      </c>
      <c r="EH22" t="s">
        <v>92</v>
      </c>
      <c r="EI22" s="1">
        <v>75461</v>
      </c>
      <c r="EJ22" t="s">
        <v>92</v>
      </c>
      <c r="EK22" t="s">
        <v>92</v>
      </c>
      <c r="EL22" t="s">
        <v>92</v>
      </c>
      <c r="EM22" s="1">
        <v>78372</v>
      </c>
      <c r="EN22" t="s">
        <v>92</v>
      </c>
      <c r="EO22" t="s">
        <v>92</v>
      </c>
      <c r="EP22" t="s">
        <v>92</v>
      </c>
      <c r="EQ22" s="1">
        <v>80911</v>
      </c>
      <c r="ER22" t="s">
        <v>92</v>
      </c>
      <c r="ES22" t="s">
        <v>92</v>
      </c>
      <c r="ET22" t="s">
        <v>92</v>
      </c>
      <c r="EU22" s="1">
        <v>82232</v>
      </c>
      <c r="EV22" t="s">
        <v>92</v>
      </c>
      <c r="EW22" t="s">
        <v>92</v>
      </c>
      <c r="EX22" t="s">
        <v>92</v>
      </c>
      <c r="EY22" s="1">
        <v>86778</v>
      </c>
      <c r="EZ22" s="1">
        <v>87099</v>
      </c>
      <c r="FA22" s="1">
        <v>87286</v>
      </c>
      <c r="FB22" s="1">
        <v>89740</v>
      </c>
      <c r="FC22" s="1">
        <v>87209</v>
      </c>
      <c r="FD22" s="1">
        <v>89451</v>
      </c>
      <c r="FE22" s="1">
        <v>95292</v>
      </c>
      <c r="FF22" s="1">
        <v>96556</v>
      </c>
      <c r="FG22" s="1">
        <v>91890</v>
      </c>
      <c r="FH22" s="1">
        <v>92496</v>
      </c>
      <c r="FI22" s="1">
        <v>99038</v>
      </c>
      <c r="FJ22" s="1">
        <v>99068</v>
      </c>
      <c r="FK22" s="1">
        <v>100799</v>
      </c>
      <c r="FL22" s="1">
        <v>100147</v>
      </c>
      <c r="FM22" s="1">
        <v>100146</v>
      </c>
      <c r="FN22" s="1">
        <v>101318</v>
      </c>
      <c r="FO22" s="1">
        <v>104539</v>
      </c>
      <c r="FP22" s="1">
        <v>102535</v>
      </c>
      <c r="FQ22" t="s">
        <v>92</v>
      </c>
      <c r="FR22" t="s">
        <v>92</v>
      </c>
      <c r="FS22" t="s">
        <v>92</v>
      </c>
      <c r="FT22" s="1">
        <v>97514</v>
      </c>
      <c r="FU22" t="s">
        <v>92</v>
      </c>
      <c r="FV22" t="s">
        <v>92</v>
      </c>
      <c r="FW22" t="s">
        <v>92</v>
      </c>
      <c r="FX22" s="1">
        <v>104603</v>
      </c>
      <c r="FY22" t="s">
        <v>92</v>
      </c>
      <c r="FZ22" t="s">
        <v>92</v>
      </c>
      <c r="GA22" t="s">
        <v>92</v>
      </c>
      <c r="GB22" s="1">
        <v>108810</v>
      </c>
      <c r="GC22" t="s">
        <v>92</v>
      </c>
      <c r="GD22" t="s">
        <v>92</v>
      </c>
      <c r="GE22" t="s">
        <v>92</v>
      </c>
      <c r="GF22" s="1">
        <v>111354</v>
      </c>
      <c r="GG22" t="s">
        <v>92</v>
      </c>
      <c r="GH22" t="s">
        <v>92</v>
      </c>
      <c r="GI22" t="s">
        <v>92</v>
      </c>
      <c r="GJ22" s="1">
        <v>114381</v>
      </c>
      <c r="GK22" t="s">
        <v>92</v>
      </c>
      <c r="GL22" t="s">
        <v>92</v>
      </c>
      <c r="GM22" t="s">
        <v>92</v>
      </c>
      <c r="GN22" s="1">
        <v>118039</v>
      </c>
      <c r="GO22" t="s">
        <v>92</v>
      </c>
      <c r="GP22" t="s">
        <v>92</v>
      </c>
      <c r="GQ22" t="s">
        <v>92</v>
      </c>
      <c r="GR22" s="1">
        <v>121152</v>
      </c>
      <c r="GS22" t="s">
        <v>92</v>
      </c>
      <c r="GT22" t="s">
        <v>92</v>
      </c>
      <c r="GU22" t="s">
        <v>92</v>
      </c>
      <c r="GV22" s="1">
        <v>124221</v>
      </c>
      <c r="GW22" t="s">
        <v>92</v>
      </c>
      <c r="GX22" t="s">
        <v>92</v>
      </c>
      <c r="GY22" t="s">
        <v>92</v>
      </c>
      <c r="GZ22" s="1">
        <v>124611</v>
      </c>
      <c r="HA22" t="s">
        <v>92</v>
      </c>
      <c r="HB22" t="s">
        <v>92</v>
      </c>
      <c r="HC22" t="s">
        <v>92</v>
      </c>
      <c r="HD22" s="1">
        <v>125899</v>
      </c>
      <c r="HE22" s="1">
        <v>125294</v>
      </c>
      <c r="HF22" s="1">
        <v>131334</v>
      </c>
      <c r="HG22" s="1">
        <v>136244</v>
      </c>
      <c r="HH22" s="1">
        <v>136548</v>
      </c>
      <c r="HI22" s="1">
        <v>140959</v>
      </c>
      <c r="HJ22" s="1">
        <v>146515</v>
      </c>
      <c r="HK22" s="1">
        <v>154034</v>
      </c>
      <c r="HL22" s="1">
        <v>154492</v>
      </c>
      <c r="HM22" s="1">
        <v>156646</v>
      </c>
      <c r="HN22" s="1">
        <v>156860</v>
      </c>
      <c r="HO22" s="1">
        <v>159718</v>
      </c>
      <c r="HP22" s="1">
        <v>159012</v>
      </c>
      <c r="HQ22" s="1">
        <v>159578</v>
      </c>
      <c r="HR22" s="1">
        <v>160804</v>
      </c>
      <c r="HS22" s="1">
        <v>161414</v>
      </c>
      <c r="HT22" s="1">
        <v>157405</v>
      </c>
      <c r="HU22" s="1">
        <v>159839</v>
      </c>
      <c r="HV22" t="s">
        <v>92</v>
      </c>
      <c r="HW22" t="s">
        <v>92</v>
      </c>
      <c r="HX22" t="s">
        <v>92</v>
      </c>
      <c r="HY22" s="1">
        <v>82921</v>
      </c>
      <c r="HZ22" t="s">
        <v>92</v>
      </c>
      <c r="IA22" t="s">
        <v>92</v>
      </c>
      <c r="IB22" t="s">
        <v>92</v>
      </c>
      <c r="IC22" s="1">
        <v>84835</v>
      </c>
      <c r="ID22" t="s">
        <v>92</v>
      </c>
      <c r="IE22" t="s">
        <v>92</v>
      </c>
      <c r="IF22" t="s">
        <v>92</v>
      </c>
      <c r="IG22" s="1">
        <v>89343</v>
      </c>
      <c r="IH22" t="s">
        <v>92</v>
      </c>
      <c r="II22" t="s">
        <v>92</v>
      </c>
      <c r="IJ22" t="s">
        <v>92</v>
      </c>
      <c r="IK22" s="1">
        <v>93597</v>
      </c>
      <c r="IL22" t="s">
        <v>92</v>
      </c>
      <c r="IM22" t="s">
        <v>92</v>
      </c>
      <c r="IN22" t="s">
        <v>92</v>
      </c>
      <c r="IO22" s="1">
        <v>99521</v>
      </c>
      <c r="IP22" t="s">
        <v>92</v>
      </c>
      <c r="IQ22" t="s">
        <v>92</v>
      </c>
      <c r="IR22" t="s">
        <v>92</v>
      </c>
      <c r="IS22" s="1">
        <v>106713</v>
      </c>
      <c r="IT22" t="s">
        <v>92</v>
      </c>
      <c r="IU22" t="s">
        <v>92</v>
      </c>
      <c r="IV22" t="s">
        <v>92</v>
      </c>
      <c r="IW22" s="1">
        <v>115445</v>
      </c>
      <c r="IX22" t="s">
        <v>92</v>
      </c>
      <c r="IY22" t="s">
        <v>92</v>
      </c>
      <c r="IZ22" t="s">
        <v>92</v>
      </c>
      <c r="JA22" s="1">
        <v>120508</v>
      </c>
      <c r="JB22" t="s">
        <v>92</v>
      </c>
      <c r="JC22" t="s">
        <v>92</v>
      </c>
      <c r="JD22" t="s">
        <v>92</v>
      </c>
      <c r="JE22" s="1">
        <v>121854</v>
      </c>
      <c r="JF22" t="s">
        <v>92</v>
      </c>
      <c r="JG22" t="s">
        <v>92</v>
      </c>
      <c r="JH22" t="s">
        <v>92</v>
      </c>
      <c r="JI22" s="1">
        <v>129128</v>
      </c>
      <c r="JJ22" s="1">
        <v>132281</v>
      </c>
      <c r="JK22" s="1">
        <v>135687</v>
      </c>
      <c r="JL22" s="1">
        <v>140600</v>
      </c>
      <c r="JM22" s="1">
        <v>148441</v>
      </c>
      <c r="JN22" s="1">
        <v>155317</v>
      </c>
      <c r="JO22" s="1">
        <v>162695</v>
      </c>
      <c r="JP22" s="1">
        <v>167850</v>
      </c>
      <c r="JQ22" s="1">
        <v>164703</v>
      </c>
      <c r="JR22" s="1">
        <v>163592</v>
      </c>
      <c r="JS22" s="1">
        <v>171978</v>
      </c>
      <c r="JT22" s="1">
        <v>170243</v>
      </c>
      <c r="JU22" s="1">
        <v>170032</v>
      </c>
      <c r="JV22" s="1">
        <v>170219</v>
      </c>
      <c r="JW22" s="1">
        <v>172043</v>
      </c>
      <c r="JX22" s="1">
        <v>171620</v>
      </c>
      <c r="JY22" s="1">
        <v>172761</v>
      </c>
      <c r="JZ22" s="1">
        <v>174210</v>
      </c>
      <c r="KA22" t="s">
        <v>92</v>
      </c>
      <c r="KB22" t="s">
        <v>92</v>
      </c>
      <c r="KC22" t="s">
        <v>92</v>
      </c>
      <c r="KD22" s="1">
        <v>88936</v>
      </c>
      <c r="KE22" t="s">
        <v>92</v>
      </c>
      <c r="KF22" t="s">
        <v>92</v>
      </c>
      <c r="KG22" t="s">
        <v>92</v>
      </c>
      <c r="KH22" s="1">
        <v>94012</v>
      </c>
      <c r="KI22" t="s">
        <v>92</v>
      </c>
      <c r="KJ22" t="s">
        <v>92</v>
      </c>
      <c r="KK22" t="s">
        <v>92</v>
      </c>
      <c r="KL22" s="1">
        <v>99625</v>
      </c>
      <c r="KM22" t="s">
        <v>92</v>
      </c>
      <c r="KN22" t="s">
        <v>92</v>
      </c>
      <c r="KO22" t="s">
        <v>92</v>
      </c>
      <c r="KP22" s="1">
        <v>108078</v>
      </c>
      <c r="KQ22" t="s">
        <v>92</v>
      </c>
      <c r="KR22" t="s">
        <v>92</v>
      </c>
      <c r="KS22" t="s">
        <v>92</v>
      </c>
      <c r="KT22" s="1">
        <v>117662</v>
      </c>
      <c r="KU22" t="s">
        <v>92</v>
      </c>
      <c r="KV22" t="s">
        <v>92</v>
      </c>
      <c r="KW22" t="s">
        <v>92</v>
      </c>
      <c r="KX22" s="1">
        <v>132043</v>
      </c>
      <c r="KY22" t="s">
        <v>92</v>
      </c>
      <c r="KZ22" t="s">
        <v>92</v>
      </c>
      <c r="LA22" t="s">
        <v>92</v>
      </c>
      <c r="LB22" s="1">
        <v>143306</v>
      </c>
      <c r="LC22" t="s">
        <v>92</v>
      </c>
      <c r="LD22" t="s">
        <v>92</v>
      </c>
      <c r="LE22" t="s">
        <v>92</v>
      </c>
      <c r="LF22" s="1">
        <v>150230</v>
      </c>
      <c r="LG22" t="s">
        <v>92</v>
      </c>
      <c r="LH22" t="s">
        <v>92</v>
      </c>
      <c r="LI22" t="s">
        <v>92</v>
      </c>
      <c r="LJ22" s="1">
        <v>147617</v>
      </c>
      <c r="LK22" t="s">
        <v>92</v>
      </c>
      <c r="LL22" t="s">
        <v>92</v>
      </c>
      <c r="LM22" t="s">
        <v>92</v>
      </c>
      <c r="LN22" s="1">
        <v>149335</v>
      </c>
      <c r="LO22" s="1">
        <v>148383</v>
      </c>
      <c r="LP22" s="1">
        <v>151585</v>
      </c>
      <c r="LQ22" s="1">
        <v>156485</v>
      </c>
      <c r="LR22" s="1">
        <v>159832</v>
      </c>
      <c r="LS22" s="1">
        <v>167677</v>
      </c>
      <c r="LT22" s="1">
        <v>174707</v>
      </c>
      <c r="LU22" s="1">
        <v>182329</v>
      </c>
      <c r="LV22" s="1">
        <v>184995</v>
      </c>
      <c r="LW22" s="1">
        <v>193608</v>
      </c>
      <c r="LX22" s="1">
        <v>187530</v>
      </c>
      <c r="LY22" s="1">
        <v>185464</v>
      </c>
      <c r="LZ22" s="1">
        <v>184088</v>
      </c>
      <c r="MA22" s="1">
        <v>186127</v>
      </c>
      <c r="MB22" s="1">
        <v>188228</v>
      </c>
      <c r="MC22" s="1">
        <v>187590</v>
      </c>
      <c r="MD22" s="1">
        <v>185328</v>
      </c>
      <c r="ME22" s="1">
        <v>186327</v>
      </c>
    </row>
    <row r="23" spans="1:343" x14ac:dyDescent="0.25">
      <c r="A23" t="s">
        <v>346</v>
      </c>
      <c r="B23" t="s">
        <v>92</v>
      </c>
      <c r="C23" t="s">
        <v>92</v>
      </c>
      <c r="D23" t="s">
        <v>92</v>
      </c>
      <c r="E23" s="1">
        <v>42125</v>
      </c>
      <c r="F23" t="s">
        <v>92</v>
      </c>
      <c r="G23" t="s">
        <v>92</v>
      </c>
      <c r="H23" t="s">
        <v>92</v>
      </c>
      <c r="I23" s="1">
        <v>42704</v>
      </c>
      <c r="J23" t="s">
        <v>92</v>
      </c>
      <c r="K23" t="s">
        <v>92</v>
      </c>
      <c r="L23" t="s">
        <v>92</v>
      </c>
      <c r="M23" s="1">
        <v>43253</v>
      </c>
      <c r="N23" t="s">
        <v>92</v>
      </c>
      <c r="O23" t="s">
        <v>92</v>
      </c>
      <c r="P23" t="s">
        <v>92</v>
      </c>
      <c r="Q23" s="1">
        <v>44085</v>
      </c>
      <c r="R23" t="s">
        <v>92</v>
      </c>
      <c r="S23" t="s">
        <v>92</v>
      </c>
      <c r="T23" t="s">
        <v>92</v>
      </c>
      <c r="U23" s="1">
        <v>45086</v>
      </c>
      <c r="V23" t="s">
        <v>92</v>
      </c>
      <c r="W23" t="s">
        <v>92</v>
      </c>
      <c r="X23" t="s">
        <v>92</v>
      </c>
      <c r="Y23" s="1">
        <v>45932</v>
      </c>
      <c r="Z23" t="s">
        <v>92</v>
      </c>
      <c r="AA23" t="s">
        <v>92</v>
      </c>
      <c r="AB23" t="s">
        <v>92</v>
      </c>
      <c r="AC23" s="1">
        <v>46793</v>
      </c>
      <c r="AD23" t="s">
        <v>92</v>
      </c>
      <c r="AE23" t="s">
        <v>92</v>
      </c>
      <c r="AF23" t="s">
        <v>92</v>
      </c>
      <c r="AG23" s="1">
        <v>47634</v>
      </c>
      <c r="AH23" t="s">
        <v>92</v>
      </c>
      <c r="AI23" t="s">
        <v>92</v>
      </c>
      <c r="AJ23" t="s">
        <v>92</v>
      </c>
      <c r="AK23" s="1">
        <v>48240</v>
      </c>
      <c r="AL23" t="s">
        <v>92</v>
      </c>
      <c r="AM23" t="s">
        <v>92</v>
      </c>
      <c r="AN23" t="s">
        <v>92</v>
      </c>
      <c r="AO23" s="1">
        <v>48224</v>
      </c>
      <c r="AP23" s="1">
        <v>46657</v>
      </c>
      <c r="AQ23" s="1">
        <v>46374</v>
      </c>
      <c r="AR23" s="1">
        <v>47232</v>
      </c>
      <c r="AS23" s="1">
        <v>46256</v>
      </c>
      <c r="AT23" s="1">
        <v>45658</v>
      </c>
      <c r="AU23" s="1">
        <v>46593</v>
      </c>
      <c r="AV23" s="1">
        <v>47367</v>
      </c>
      <c r="AW23" s="1">
        <v>45886</v>
      </c>
      <c r="AX23" s="1">
        <v>45844</v>
      </c>
      <c r="AY23" s="1">
        <v>46665</v>
      </c>
      <c r="AZ23" s="1">
        <v>46953</v>
      </c>
      <c r="BA23" s="1">
        <v>46931</v>
      </c>
      <c r="BB23" s="1">
        <v>46332</v>
      </c>
      <c r="BC23" s="1">
        <v>46936</v>
      </c>
      <c r="BD23" s="1">
        <v>47108</v>
      </c>
      <c r="BE23" s="1">
        <v>47215</v>
      </c>
      <c r="BF23" s="1">
        <v>47194</v>
      </c>
      <c r="BG23" t="s">
        <v>92</v>
      </c>
      <c r="BH23" t="s">
        <v>92</v>
      </c>
      <c r="BI23" t="s">
        <v>92</v>
      </c>
      <c r="BJ23" s="1">
        <v>38908</v>
      </c>
      <c r="BK23" t="s">
        <v>92</v>
      </c>
      <c r="BL23" t="s">
        <v>92</v>
      </c>
      <c r="BM23" t="s">
        <v>92</v>
      </c>
      <c r="BN23" s="1">
        <v>38932</v>
      </c>
      <c r="BO23" t="s">
        <v>92</v>
      </c>
      <c r="BP23" t="s">
        <v>92</v>
      </c>
      <c r="BQ23" t="s">
        <v>92</v>
      </c>
      <c r="BR23" s="1">
        <v>38219</v>
      </c>
      <c r="BS23" t="s">
        <v>92</v>
      </c>
      <c r="BT23" t="s">
        <v>92</v>
      </c>
      <c r="BU23" t="s">
        <v>92</v>
      </c>
      <c r="BV23" s="1">
        <v>37657</v>
      </c>
      <c r="BW23" t="s">
        <v>92</v>
      </c>
      <c r="BX23" t="s">
        <v>92</v>
      </c>
      <c r="BY23" t="s">
        <v>92</v>
      </c>
      <c r="BZ23" s="1">
        <v>37425</v>
      </c>
      <c r="CA23" t="s">
        <v>92</v>
      </c>
      <c r="CB23" t="s">
        <v>92</v>
      </c>
      <c r="CC23" t="s">
        <v>92</v>
      </c>
      <c r="CD23" s="1">
        <v>38234</v>
      </c>
      <c r="CE23" t="s">
        <v>92</v>
      </c>
      <c r="CF23" t="s">
        <v>92</v>
      </c>
      <c r="CG23" t="s">
        <v>92</v>
      </c>
      <c r="CH23" s="1">
        <v>38312</v>
      </c>
      <c r="CI23" t="s">
        <v>92</v>
      </c>
      <c r="CJ23" t="s">
        <v>92</v>
      </c>
      <c r="CK23" t="s">
        <v>92</v>
      </c>
      <c r="CL23" s="1">
        <v>38216</v>
      </c>
      <c r="CM23" t="s">
        <v>92</v>
      </c>
      <c r="CN23" t="s">
        <v>92</v>
      </c>
      <c r="CO23" t="s">
        <v>92</v>
      </c>
      <c r="CP23" s="1">
        <v>41106</v>
      </c>
      <c r="CQ23" t="s">
        <v>92</v>
      </c>
      <c r="CR23" t="s">
        <v>92</v>
      </c>
      <c r="CS23" t="s">
        <v>92</v>
      </c>
      <c r="CT23" s="1">
        <v>41923</v>
      </c>
      <c r="CU23" s="1">
        <v>40095</v>
      </c>
      <c r="CV23" s="1">
        <v>38717</v>
      </c>
      <c r="CW23" s="1">
        <v>38509</v>
      </c>
      <c r="CX23" s="1">
        <v>35815</v>
      </c>
      <c r="CY23" s="1">
        <v>32298</v>
      </c>
      <c r="CZ23" s="1">
        <v>32196</v>
      </c>
      <c r="DA23" s="1">
        <v>30828</v>
      </c>
      <c r="DB23" s="1">
        <v>28833</v>
      </c>
      <c r="DC23" s="1">
        <v>28622</v>
      </c>
      <c r="DD23" s="1">
        <v>30660</v>
      </c>
      <c r="DE23" s="1">
        <v>33028</v>
      </c>
      <c r="DF23" s="1">
        <v>33348</v>
      </c>
      <c r="DG23" s="1">
        <v>31832</v>
      </c>
      <c r="DH23" s="1">
        <v>32125</v>
      </c>
      <c r="DI23" s="1">
        <v>33181</v>
      </c>
      <c r="DJ23" s="1">
        <v>33825</v>
      </c>
      <c r="DK23" s="1">
        <v>32966</v>
      </c>
      <c r="DL23" t="s">
        <v>92</v>
      </c>
      <c r="DM23" t="s">
        <v>92</v>
      </c>
      <c r="DN23" t="s">
        <v>92</v>
      </c>
      <c r="DO23" s="1">
        <v>29252</v>
      </c>
      <c r="DP23" t="s">
        <v>92</v>
      </c>
      <c r="DQ23" t="s">
        <v>92</v>
      </c>
      <c r="DR23" t="s">
        <v>92</v>
      </c>
      <c r="DS23" s="1">
        <v>29231</v>
      </c>
      <c r="DT23" t="s">
        <v>92</v>
      </c>
      <c r="DU23" t="s">
        <v>92</v>
      </c>
      <c r="DV23" t="s">
        <v>92</v>
      </c>
      <c r="DW23" s="1">
        <v>30313</v>
      </c>
      <c r="DX23" t="s">
        <v>92</v>
      </c>
      <c r="DY23" t="s">
        <v>92</v>
      </c>
      <c r="DZ23" t="s">
        <v>92</v>
      </c>
      <c r="EA23" s="1">
        <v>32159</v>
      </c>
      <c r="EB23" t="s">
        <v>92</v>
      </c>
      <c r="EC23" t="s">
        <v>92</v>
      </c>
      <c r="ED23" t="s">
        <v>92</v>
      </c>
      <c r="EE23" s="1">
        <v>32908</v>
      </c>
      <c r="EF23" t="s">
        <v>92</v>
      </c>
      <c r="EG23" t="s">
        <v>92</v>
      </c>
      <c r="EH23" t="s">
        <v>92</v>
      </c>
      <c r="EI23" s="1">
        <v>34140</v>
      </c>
      <c r="EJ23" t="s">
        <v>92</v>
      </c>
      <c r="EK23" t="s">
        <v>92</v>
      </c>
      <c r="EL23" t="s">
        <v>92</v>
      </c>
      <c r="EM23" s="1">
        <v>34803</v>
      </c>
      <c r="EN23" t="s">
        <v>92</v>
      </c>
      <c r="EO23" t="s">
        <v>92</v>
      </c>
      <c r="EP23" t="s">
        <v>92</v>
      </c>
      <c r="EQ23" s="1">
        <v>35811</v>
      </c>
      <c r="ER23" t="s">
        <v>92</v>
      </c>
      <c r="ES23" t="s">
        <v>92</v>
      </c>
      <c r="ET23" t="s">
        <v>92</v>
      </c>
      <c r="EU23" s="1">
        <v>37153</v>
      </c>
      <c r="EV23" t="s">
        <v>92</v>
      </c>
      <c r="EW23" t="s">
        <v>92</v>
      </c>
      <c r="EX23" t="s">
        <v>92</v>
      </c>
      <c r="EY23" s="1">
        <v>38097</v>
      </c>
      <c r="EZ23" s="1">
        <v>37306</v>
      </c>
      <c r="FA23" s="1">
        <v>37243</v>
      </c>
      <c r="FB23" s="1">
        <v>37963</v>
      </c>
      <c r="FC23" s="1">
        <v>38454</v>
      </c>
      <c r="FD23" s="1">
        <v>39250</v>
      </c>
      <c r="FE23" s="1">
        <v>36599</v>
      </c>
      <c r="FF23" s="1">
        <v>38187</v>
      </c>
      <c r="FG23" s="1">
        <v>36534</v>
      </c>
      <c r="FH23" s="1">
        <v>36209</v>
      </c>
      <c r="FI23" s="1">
        <v>36772</v>
      </c>
      <c r="FJ23" s="1">
        <v>35991</v>
      </c>
      <c r="FK23" s="1">
        <v>36229</v>
      </c>
      <c r="FL23" s="1">
        <v>36089</v>
      </c>
      <c r="FM23" s="1">
        <v>36404</v>
      </c>
      <c r="FN23" s="1">
        <v>35845</v>
      </c>
      <c r="FO23" s="1">
        <v>36065</v>
      </c>
      <c r="FP23" s="1">
        <v>36264</v>
      </c>
      <c r="FQ23" t="s">
        <v>92</v>
      </c>
      <c r="FR23" t="s">
        <v>92</v>
      </c>
      <c r="FS23" t="s">
        <v>92</v>
      </c>
      <c r="FT23" s="1">
        <v>39905</v>
      </c>
      <c r="FU23" t="s">
        <v>92</v>
      </c>
      <c r="FV23" t="s">
        <v>92</v>
      </c>
      <c r="FW23" t="s">
        <v>92</v>
      </c>
      <c r="FX23" s="1">
        <v>40695</v>
      </c>
      <c r="FY23" t="s">
        <v>92</v>
      </c>
      <c r="FZ23" t="s">
        <v>92</v>
      </c>
      <c r="GA23" t="s">
        <v>92</v>
      </c>
      <c r="GB23" s="1">
        <v>40995</v>
      </c>
      <c r="GC23" t="s">
        <v>92</v>
      </c>
      <c r="GD23" t="s">
        <v>92</v>
      </c>
      <c r="GE23" t="s">
        <v>92</v>
      </c>
      <c r="GF23" s="1">
        <v>40909</v>
      </c>
      <c r="GG23" t="s">
        <v>92</v>
      </c>
      <c r="GH23" t="s">
        <v>92</v>
      </c>
      <c r="GI23" t="s">
        <v>92</v>
      </c>
      <c r="GJ23" s="1">
        <v>43900</v>
      </c>
      <c r="GK23" t="s">
        <v>92</v>
      </c>
      <c r="GL23" t="s">
        <v>92</v>
      </c>
      <c r="GM23" t="s">
        <v>92</v>
      </c>
      <c r="GN23" s="1">
        <v>44886</v>
      </c>
      <c r="GO23" t="s">
        <v>92</v>
      </c>
      <c r="GP23" t="s">
        <v>92</v>
      </c>
      <c r="GQ23" t="s">
        <v>92</v>
      </c>
      <c r="GR23" s="1">
        <v>46828</v>
      </c>
      <c r="GS23" t="s">
        <v>92</v>
      </c>
      <c r="GT23" t="s">
        <v>92</v>
      </c>
      <c r="GU23" t="s">
        <v>92</v>
      </c>
      <c r="GV23" s="1">
        <v>47706</v>
      </c>
      <c r="GW23" t="s">
        <v>92</v>
      </c>
      <c r="GX23" t="s">
        <v>92</v>
      </c>
      <c r="GY23" t="s">
        <v>92</v>
      </c>
      <c r="GZ23" s="1">
        <v>47190</v>
      </c>
      <c r="HA23" t="s">
        <v>92</v>
      </c>
      <c r="HB23" t="s">
        <v>92</v>
      </c>
      <c r="HC23" t="s">
        <v>92</v>
      </c>
      <c r="HD23" s="1">
        <v>44660</v>
      </c>
      <c r="HE23" s="1">
        <v>42066</v>
      </c>
      <c r="HF23" s="1">
        <v>43122</v>
      </c>
      <c r="HG23" s="1">
        <v>43452</v>
      </c>
      <c r="HH23" s="1">
        <v>39555</v>
      </c>
      <c r="HI23" s="1">
        <v>39617</v>
      </c>
      <c r="HJ23" s="1">
        <v>44072</v>
      </c>
      <c r="HK23" s="1">
        <v>45674</v>
      </c>
      <c r="HL23" s="1">
        <v>45311</v>
      </c>
      <c r="HM23" s="1">
        <v>45987</v>
      </c>
      <c r="HN23" s="1">
        <v>46076</v>
      </c>
      <c r="HO23" s="1">
        <v>46446</v>
      </c>
      <c r="HP23" s="1">
        <v>45497</v>
      </c>
      <c r="HQ23" s="1">
        <v>44872</v>
      </c>
      <c r="HR23" s="1">
        <v>45805</v>
      </c>
      <c r="HS23" s="1">
        <v>45902</v>
      </c>
      <c r="HT23" s="1">
        <v>44905</v>
      </c>
      <c r="HU23" s="1">
        <v>45381</v>
      </c>
      <c r="HV23" t="s">
        <v>92</v>
      </c>
      <c r="HW23" t="s">
        <v>92</v>
      </c>
      <c r="HX23" t="s">
        <v>92</v>
      </c>
      <c r="HY23" s="1">
        <v>43814</v>
      </c>
      <c r="HZ23" t="s">
        <v>92</v>
      </c>
      <c r="IA23" t="s">
        <v>92</v>
      </c>
      <c r="IB23" t="s">
        <v>92</v>
      </c>
      <c r="IC23" s="1">
        <v>44360</v>
      </c>
      <c r="ID23" t="s">
        <v>92</v>
      </c>
      <c r="IE23" t="s">
        <v>92</v>
      </c>
      <c r="IF23" t="s">
        <v>92</v>
      </c>
      <c r="IG23" s="1">
        <v>45592</v>
      </c>
      <c r="IH23" t="s">
        <v>92</v>
      </c>
      <c r="II23" t="s">
        <v>92</v>
      </c>
      <c r="IJ23" t="s">
        <v>92</v>
      </c>
      <c r="IK23" s="1">
        <v>47939</v>
      </c>
      <c r="IL23" t="s">
        <v>92</v>
      </c>
      <c r="IM23" t="s">
        <v>92</v>
      </c>
      <c r="IN23" t="s">
        <v>92</v>
      </c>
      <c r="IO23" s="1">
        <v>48397</v>
      </c>
      <c r="IP23" t="s">
        <v>92</v>
      </c>
      <c r="IQ23" t="s">
        <v>92</v>
      </c>
      <c r="IR23" t="s">
        <v>92</v>
      </c>
      <c r="IS23" s="1">
        <v>50005</v>
      </c>
      <c r="IT23" t="s">
        <v>92</v>
      </c>
      <c r="IU23" t="s">
        <v>92</v>
      </c>
      <c r="IV23" t="s">
        <v>92</v>
      </c>
      <c r="IW23" s="1">
        <v>49374</v>
      </c>
      <c r="IX23" t="s">
        <v>92</v>
      </c>
      <c r="IY23" t="s">
        <v>92</v>
      </c>
      <c r="IZ23" t="s">
        <v>92</v>
      </c>
      <c r="JA23" s="1">
        <v>49954</v>
      </c>
      <c r="JB23" t="s">
        <v>92</v>
      </c>
      <c r="JC23" t="s">
        <v>92</v>
      </c>
      <c r="JD23" t="s">
        <v>92</v>
      </c>
      <c r="JE23" s="1">
        <v>50257</v>
      </c>
      <c r="JF23" t="s">
        <v>92</v>
      </c>
      <c r="JG23" t="s">
        <v>92</v>
      </c>
      <c r="JH23" t="s">
        <v>92</v>
      </c>
      <c r="JI23" s="1">
        <v>52731</v>
      </c>
      <c r="JJ23" s="1">
        <v>51528</v>
      </c>
      <c r="JK23" s="1">
        <v>50040</v>
      </c>
      <c r="JL23" s="1">
        <v>51917</v>
      </c>
      <c r="JM23" s="1">
        <v>52939</v>
      </c>
      <c r="JN23" s="1">
        <v>52909</v>
      </c>
      <c r="JO23" s="1">
        <v>54220</v>
      </c>
      <c r="JP23" s="1">
        <v>55231</v>
      </c>
      <c r="JQ23" s="1">
        <v>52433</v>
      </c>
      <c r="JR23" s="1">
        <v>52206</v>
      </c>
      <c r="JS23" s="1">
        <v>54096</v>
      </c>
      <c r="JT23" s="1">
        <v>53668</v>
      </c>
      <c r="JU23" s="1">
        <v>53941</v>
      </c>
      <c r="JV23" s="1">
        <v>53640</v>
      </c>
      <c r="JW23" s="1">
        <v>54329</v>
      </c>
      <c r="JX23" s="1">
        <v>54468</v>
      </c>
      <c r="JY23" s="1">
        <v>54903</v>
      </c>
      <c r="JZ23" s="1">
        <v>54922</v>
      </c>
      <c r="KA23" t="s">
        <v>92</v>
      </c>
      <c r="KB23" t="s">
        <v>92</v>
      </c>
      <c r="KC23" t="s">
        <v>92</v>
      </c>
      <c r="KD23" s="1">
        <v>58746</v>
      </c>
      <c r="KE23" t="s">
        <v>92</v>
      </c>
      <c r="KF23" t="s">
        <v>92</v>
      </c>
      <c r="KG23" t="s">
        <v>92</v>
      </c>
      <c r="KH23" s="1">
        <v>60302</v>
      </c>
      <c r="KI23" t="s">
        <v>92</v>
      </c>
      <c r="KJ23" t="s">
        <v>92</v>
      </c>
      <c r="KK23" t="s">
        <v>92</v>
      </c>
      <c r="KL23" s="1">
        <v>61146</v>
      </c>
      <c r="KM23" t="s">
        <v>92</v>
      </c>
      <c r="KN23" t="s">
        <v>92</v>
      </c>
      <c r="KO23" t="s">
        <v>92</v>
      </c>
      <c r="KP23" s="1">
        <v>61762</v>
      </c>
      <c r="KQ23" t="s">
        <v>92</v>
      </c>
      <c r="KR23" t="s">
        <v>92</v>
      </c>
      <c r="KS23" t="s">
        <v>92</v>
      </c>
      <c r="KT23" s="1">
        <v>62800</v>
      </c>
      <c r="KU23" t="s">
        <v>92</v>
      </c>
      <c r="KV23" t="s">
        <v>92</v>
      </c>
      <c r="KW23" t="s">
        <v>92</v>
      </c>
      <c r="KX23" s="1">
        <v>62395</v>
      </c>
      <c r="KY23" t="s">
        <v>92</v>
      </c>
      <c r="KZ23" t="s">
        <v>92</v>
      </c>
      <c r="LA23" t="s">
        <v>92</v>
      </c>
      <c r="LB23" s="1">
        <v>64645</v>
      </c>
      <c r="LC23" t="s">
        <v>92</v>
      </c>
      <c r="LD23" t="s">
        <v>92</v>
      </c>
      <c r="LE23" t="s">
        <v>92</v>
      </c>
      <c r="LF23" s="1">
        <v>66483</v>
      </c>
      <c r="LG23" t="s">
        <v>92</v>
      </c>
      <c r="LH23" t="s">
        <v>92</v>
      </c>
      <c r="LI23" t="s">
        <v>92</v>
      </c>
      <c r="LJ23" s="1">
        <v>65493</v>
      </c>
      <c r="LK23" t="s">
        <v>92</v>
      </c>
      <c r="LL23" t="s">
        <v>92</v>
      </c>
      <c r="LM23" t="s">
        <v>92</v>
      </c>
      <c r="LN23" s="1">
        <v>63708</v>
      </c>
      <c r="LO23" s="1">
        <v>62291</v>
      </c>
      <c r="LP23" s="1">
        <v>62747</v>
      </c>
      <c r="LQ23" s="1">
        <v>64317</v>
      </c>
      <c r="LR23" s="1">
        <v>64518</v>
      </c>
      <c r="LS23" s="1">
        <v>64214</v>
      </c>
      <c r="LT23" s="1">
        <v>65877</v>
      </c>
      <c r="LU23" s="1">
        <v>66915</v>
      </c>
      <c r="LV23" s="1">
        <v>66320</v>
      </c>
      <c r="LW23" s="1">
        <v>66194</v>
      </c>
      <c r="LX23" s="1">
        <v>65720</v>
      </c>
      <c r="LY23" s="1">
        <v>65635</v>
      </c>
      <c r="LZ23" s="1">
        <v>65643</v>
      </c>
      <c r="MA23" s="1">
        <v>65226</v>
      </c>
      <c r="MB23" s="1">
        <v>66018</v>
      </c>
      <c r="MC23" s="1">
        <v>66145</v>
      </c>
      <c r="MD23" s="1">
        <v>66378</v>
      </c>
      <c r="ME23" s="1">
        <v>66440</v>
      </c>
    </row>
    <row r="24" spans="1:343" x14ac:dyDescent="0.25">
      <c r="A24" t="s">
        <v>347</v>
      </c>
      <c r="B24" t="s">
        <v>92</v>
      </c>
      <c r="C24" t="s">
        <v>92</v>
      </c>
      <c r="D24" t="s">
        <v>92</v>
      </c>
      <c r="E24" s="1">
        <v>507316</v>
      </c>
      <c r="F24" t="s">
        <v>92</v>
      </c>
      <c r="G24" t="s">
        <v>92</v>
      </c>
      <c r="H24" t="s">
        <v>92</v>
      </c>
      <c r="I24" s="1">
        <v>522682</v>
      </c>
      <c r="J24" t="s">
        <v>92</v>
      </c>
      <c r="K24" t="s">
        <v>92</v>
      </c>
      <c r="L24" t="s">
        <v>92</v>
      </c>
      <c r="M24" s="1">
        <v>557904</v>
      </c>
      <c r="N24" t="s">
        <v>92</v>
      </c>
      <c r="O24" t="s">
        <v>92</v>
      </c>
      <c r="P24" t="s">
        <v>92</v>
      </c>
      <c r="Q24" s="1">
        <v>591756</v>
      </c>
      <c r="R24" t="s">
        <v>92</v>
      </c>
      <c r="S24" t="s">
        <v>92</v>
      </c>
      <c r="T24" t="s">
        <v>92</v>
      </c>
      <c r="U24" s="1">
        <v>632992</v>
      </c>
      <c r="V24" t="s">
        <v>92</v>
      </c>
      <c r="W24" t="s">
        <v>92</v>
      </c>
      <c r="X24" t="s">
        <v>92</v>
      </c>
      <c r="Y24" s="1">
        <v>666275</v>
      </c>
      <c r="Z24" t="s">
        <v>92</v>
      </c>
      <c r="AA24" t="s">
        <v>92</v>
      </c>
      <c r="AB24" t="s">
        <v>92</v>
      </c>
      <c r="AC24" s="1">
        <v>714683</v>
      </c>
      <c r="AD24" t="s">
        <v>92</v>
      </c>
      <c r="AE24" t="s">
        <v>92</v>
      </c>
      <c r="AF24" t="s">
        <v>92</v>
      </c>
      <c r="AG24" s="1">
        <v>745800</v>
      </c>
      <c r="AH24" t="s">
        <v>92</v>
      </c>
      <c r="AI24" t="s">
        <v>92</v>
      </c>
      <c r="AJ24" t="s">
        <v>92</v>
      </c>
      <c r="AK24" s="1">
        <v>737705</v>
      </c>
      <c r="AL24" t="s">
        <v>92</v>
      </c>
      <c r="AM24" t="s">
        <v>92</v>
      </c>
      <c r="AN24" t="s">
        <v>92</v>
      </c>
      <c r="AO24" s="1">
        <v>789482</v>
      </c>
      <c r="AP24" s="1">
        <v>762015</v>
      </c>
      <c r="AQ24" s="1">
        <v>807962</v>
      </c>
      <c r="AR24" s="1">
        <v>847991</v>
      </c>
      <c r="AS24" s="1">
        <v>886431</v>
      </c>
      <c r="AT24" s="1">
        <v>950203</v>
      </c>
      <c r="AU24" s="1">
        <v>990630</v>
      </c>
      <c r="AV24" s="1">
        <v>1025394</v>
      </c>
      <c r="AW24" s="1">
        <v>1044288</v>
      </c>
      <c r="AX24" s="1">
        <v>1045330</v>
      </c>
      <c r="AY24" s="1">
        <v>983126</v>
      </c>
      <c r="AZ24" s="1">
        <v>956217</v>
      </c>
      <c r="BA24" s="1">
        <v>959821</v>
      </c>
      <c r="BB24" s="1">
        <v>984921</v>
      </c>
      <c r="BC24" s="1">
        <v>995765</v>
      </c>
      <c r="BD24" s="1">
        <v>970390</v>
      </c>
      <c r="BE24" s="1">
        <v>979236</v>
      </c>
      <c r="BF24" s="1">
        <v>1009483</v>
      </c>
      <c r="BG24" t="s">
        <v>92</v>
      </c>
      <c r="BH24" t="s">
        <v>92</v>
      </c>
      <c r="BI24" t="s">
        <v>92</v>
      </c>
      <c r="BJ24" s="1">
        <v>-11976</v>
      </c>
      <c r="BK24" t="s">
        <v>92</v>
      </c>
      <c r="BL24" t="s">
        <v>92</v>
      </c>
      <c r="BM24" t="s">
        <v>92</v>
      </c>
      <c r="BN24" s="1">
        <v>-11791</v>
      </c>
      <c r="BO24" t="s">
        <v>92</v>
      </c>
      <c r="BP24" t="s">
        <v>92</v>
      </c>
      <c r="BQ24" t="s">
        <v>92</v>
      </c>
      <c r="BR24" s="1">
        <v>-10769</v>
      </c>
      <c r="BS24" t="s">
        <v>92</v>
      </c>
      <c r="BT24" t="s">
        <v>92</v>
      </c>
      <c r="BU24" t="s">
        <v>92</v>
      </c>
      <c r="BV24" s="1">
        <v>-9530</v>
      </c>
      <c r="BW24" t="s">
        <v>92</v>
      </c>
      <c r="BX24" t="s">
        <v>92</v>
      </c>
      <c r="BY24" t="s">
        <v>92</v>
      </c>
      <c r="BZ24" s="1">
        <v>-8647</v>
      </c>
      <c r="CA24" t="s">
        <v>92</v>
      </c>
      <c r="CB24" t="s">
        <v>92</v>
      </c>
      <c r="CC24" t="s">
        <v>92</v>
      </c>
      <c r="CD24" s="1">
        <v>-7578</v>
      </c>
      <c r="CE24" t="s">
        <v>92</v>
      </c>
      <c r="CF24" t="s">
        <v>92</v>
      </c>
      <c r="CG24" t="s">
        <v>92</v>
      </c>
      <c r="CH24" s="1">
        <v>-6053</v>
      </c>
      <c r="CI24" t="s">
        <v>92</v>
      </c>
      <c r="CJ24" t="s">
        <v>92</v>
      </c>
      <c r="CK24" t="s">
        <v>92</v>
      </c>
      <c r="CL24" s="1">
        <v>-5281</v>
      </c>
      <c r="CM24" t="s">
        <v>92</v>
      </c>
      <c r="CN24" t="s">
        <v>92</v>
      </c>
      <c r="CO24" t="s">
        <v>92</v>
      </c>
      <c r="CP24" s="1">
        <v>-8369</v>
      </c>
      <c r="CQ24" t="s">
        <v>92</v>
      </c>
      <c r="CR24" t="s">
        <v>92</v>
      </c>
      <c r="CS24" t="s">
        <v>92</v>
      </c>
      <c r="CT24" s="1">
        <v>-8637</v>
      </c>
      <c r="CU24" s="1">
        <v>-8034</v>
      </c>
      <c r="CV24" s="1">
        <v>-7029</v>
      </c>
      <c r="CW24" s="1">
        <v>-5831</v>
      </c>
      <c r="CX24" s="1">
        <v>-3445</v>
      </c>
      <c r="CY24" s="1">
        <v>-1205</v>
      </c>
      <c r="CZ24">
        <v>-666</v>
      </c>
      <c r="DA24">
        <v>140</v>
      </c>
      <c r="DB24" s="1">
        <v>1246</v>
      </c>
      <c r="DC24" s="1">
        <v>1345</v>
      </c>
      <c r="DD24">
        <v>95</v>
      </c>
      <c r="DE24" s="1">
        <v>-1024</v>
      </c>
      <c r="DF24" s="1">
        <v>-1316</v>
      </c>
      <c r="DG24">
        <v>-324</v>
      </c>
      <c r="DH24">
        <v>-115</v>
      </c>
      <c r="DI24">
        <v>-954</v>
      </c>
      <c r="DJ24" s="1">
        <v>-1141</v>
      </c>
      <c r="DK24">
        <v>-320</v>
      </c>
      <c r="DL24" t="s">
        <v>92</v>
      </c>
      <c r="DM24" t="s">
        <v>92</v>
      </c>
      <c r="DN24" t="s">
        <v>92</v>
      </c>
      <c r="DO24" s="1">
        <v>49882</v>
      </c>
      <c r="DP24" t="s">
        <v>92</v>
      </c>
      <c r="DQ24" t="s">
        <v>92</v>
      </c>
      <c r="DR24" t="s">
        <v>92</v>
      </c>
      <c r="DS24" s="1">
        <v>51829</v>
      </c>
      <c r="DT24" t="s">
        <v>92</v>
      </c>
      <c r="DU24" t="s">
        <v>92</v>
      </c>
      <c r="DV24" t="s">
        <v>92</v>
      </c>
      <c r="DW24" s="1">
        <v>58063</v>
      </c>
      <c r="DX24" t="s">
        <v>92</v>
      </c>
      <c r="DY24" t="s">
        <v>92</v>
      </c>
      <c r="DZ24" t="s">
        <v>92</v>
      </c>
      <c r="EA24" s="1">
        <v>65484</v>
      </c>
      <c r="EB24" t="s">
        <v>92</v>
      </c>
      <c r="EC24" t="s">
        <v>92</v>
      </c>
      <c r="ED24" t="s">
        <v>92</v>
      </c>
      <c r="EE24" s="1">
        <v>73182</v>
      </c>
      <c r="EF24" t="s">
        <v>92</v>
      </c>
      <c r="EG24" t="s">
        <v>92</v>
      </c>
      <c r="EH24" t="s">
        <v>92</v>
      </c>
      <c r="EI24" s="1">
        <v>80792</v>
      </c>
      <c r="EJ24" t="s">
        <v>92</v>
      </c>
      <c r="EK24" t="s">
        <v>92</v>
      </c>
      <c r="EL24" t="s">
        <v>92</v>
      </c>
      <c r="EM24" s="1">
        <v>90954</v>
      </c>
      <c r="EN24" t="s">
        <v>92</v>
      </c>
      <c r="EO24" t="s">
        <v>92</v>
      </c>
      <c r="EP24" t="s">
        <v>92</v>
      </c>
      <c r="EQ24" s="1">
        <v>96035</v>
      </c>
      <c r="ER24" t="s">
        <v>92</v>
      </c>
      <c r="ES24" t="s">
        <v>92</v>
      </c>
      <c r="ET24" t="s">
        <v>92</v>
      </c>
      <c r="EU24" s="1">
        <v>92809</v>
      </c>
      <c r="EV24" t="s">
        <v>92</v>
      </c>
      <c r="EW24" t="s">
        <v>92</v>
      </c>
      <c r="EX24" t="s">
        <v>92</v>
      </c>
      <c r="EY24" s="1">
        <v>100865</v>
      </c>
      <c r="EZ24" s="1">
        <v>97987</v>
      </c>
      <c r="FA24" s="1">
        <v>104876</v>
      </c>
      <c r="FB24" s="1">
        <v>112094</v>
      </c>
      <c r="FC24" s="1">
        <v>121550</v>
      </c>
      <c r="FD24" s="1">
        <v>135892</v>
      </c>
      <c r="FE24" s="1">
        <v>142116</v>
      </c>
      <c r="FF24" s="1">
        <v>150167</v>
      </c>
      <c r="FG24" s="1">
        <v>157268</v>
      </c>
      <c r="FH24" s="1">
        <v>159020</v>
      </c>
      <c r="FI24" s="1">
        <v>143580</v>
      </c>
      <c r="FJ24" s="1">
        <v>135292</v>
      </c>
      <c r="FK24" s="1">
        <v>133994</v>
      </c>
      <c r="FL24" s="1">
        <v>139617</v>
      </c>
      <c r="FM24" s="1">
        <v>141285</v>
      </c>
      <c r="FN24" s="1">
        <v>135916</v>
      </c>
      <c r="FO24" s="1">
        <v>135497</v>
      </c>
      <c r="FP24" s="1">
        <v>141033</v>
      </c>
      <c r="FQ24" t="s">
        <v>92</v>
      </c>
      <c r="FR24" t="s">
        <v>92</v>
      </c>
      <c r="FS24" t="s">
        <v>92</v>
      </c>
      <c r="FT24" s="1">
        <v>219359</v>
      </c>
      <c r="FU24" t="s">
        <v>92</v>
      </c>
      <c r="FV24" t="s">
        <v>92</v>
      </c>
      <c r="FW24" t="s">
        <v>92</v>
      </c>
      <c r="FX24" s="1">
        <v>230106</v>
      </c>
      <c r="FY24" t="s">
        <v>92</v>
      </c>
      <c r="FZ24" t="s">
        <v>92</v>
      </c>
      <c r="GA24" t="s">
        <v>92</v>
      </c>
      <c r="GB24" s="1">
        <v>248711</v>
      </c>
      <c r="GC24" t="s">
        <v>92</v>
      </c>
      <c r="GD24" t="s">
        <v>92</v>
      </c>
      <c r="GE24" t="s">
        <v>92</v>
      </c>
      <c r="GF24" s="1">
        <v>267067</v>
      </c>
      <c r="GG24" t="s">
        <v>92</v>
      </c>
      <c r="GH24" t="s">
        <v>92</v>
      </c>
      <c r="GI24" t="s">
        <v>92</v>
      </c>
      <c r="GJ24" s="1">
        <v>286486</v>
      </c>
      <c r="GK24" t="s">
        <v>92</v>
      </c>
      <c r="GL24" t="s">
        <v>92</v>
      </c>
      <c r="GM24" t="s">
        <v>92</v>
      </c>
      <c r="GN24" s="1">
        <v>304015</v>
      </c>
      <c r="GO24" t="s">
        <v>92</v>
      </c>
      <c r="GP24" t="s">
        <v>92</v>
      </c>
      <c r="GQ24" t="s">
        <v>92</v>
      </c>
      <c r="GR24" s="1">
        <v>329134</v>
      </c>
      <c r="GS24" t="s">
        <v>92</v>
      </c>
      <c r="GT24" t="s">
        <v>92</v>
      </c>
      <c r="GU24" t="s">
        <v>92</v>
      </c>
      <c r="GV24" s="1">
        <v>343627</v>
      </c>
      <c r="GW24" t="s">
        <v>92</v>
      </c>
      <c r="GX24" t="s">
        <v>92</v>
      </c>
      <c r="GY24" t="s">
        <v>92</v>
      </c>
      <c r="GZ24" s="1">
        <v>334747</v>
      </c>
      <c r="HA24" t="s">
        <v>92</v>
      </c>
      <c r="HB24" t="s">
        <v>92</v>
      </c>
      <c r="HC24" t="s">
        <v>92</v>
      </c>
      <c r="HD24" s="1">
        <v>358918</v>
      </c>
      <c r="HE24" s="1">
        <v>348527</v>
      </c>
      <c r="HF24" s="1">
        <v>368731</v>
      </c>
      <c r="HG24" s="1">
        <v>389305</v>
      </c>
      <c r="HH24" s="1">
        <v>411457</v>
      </c>
      <c r="HI24" s="1">
        <v>449236</v>
      </c>
      <c r="HJ24" s="1">
        <v>467748</v>
      </c>
      <c r="HK24" s="1">
        <v>489943</v>
      </c>
      <c r="HL24" s="1">
        <v>505273</v>
      </c>
      <c r="HM24" s="1">
        <v>509299</v>
      </c>
      <c r="HN24" s="1">
        <v>471172</v>
      </c>
      <c r="HO24" s="1">
        <v>451631</v>
      </c>
      <c r="HP24" s="1">
        <v>449274</v>
      </c>
      <c r="HQ24" s="1">
        <v>464041</v>
      </c>
      <c r="HR24" s="1">
        <v>470184</v>
      </c>
      <c r="HS24" s="1">
        <v>455140</v>
      </c>
      <c r="HT24" s="1">
        <v>454074</v>
      </c>
      <c r="HU24" s="1">
        <v>469797</v>
      </c>
      <c r="HV24" t="s">
        <v>92</v>
      </c>
      <c r="HW24" t="s">
        <v>92</v>
      </c>
      <c r="HX24" t="s">
        <v>92</v>
      </c>
      <c r="HY24" s="1">
        <v>530601</v>
      </c>
      <c r="HZ24" t="s">
        <v>92</v>
      </c>
      <c r="IA24" t="s">
        <v>92</v>
      </c>
      <c r="IB24" t="s">
        <v>92</v>
      </c>
      <c r="IC24" s="1">
        <v>553232</v>
      </c>
      <c r="ID24" t="s">
        <v>92</v>
      </c>
      <c r="IE24" t="s">
        <v>92</v>
      </c>
      <c r="IF24" t="s">
        <v>92</v>
      </c>
      <c r="IG24" s="1">
        <v>591036</v>
      </c>
      <c r="IH24" t="s">
        <v>92</v>
      </c>
      <c r="II24" t="s">
        <v>92</v>
      </c>
      <c r="IJ24" t="s">
        <v>92</v>
      </c>
      <c r="IK24" s="1">
        <v>625425</v>
      </c>
      <c r="IL24" t="s">
        <v>92</v>
      </c>
      <c r="IM24" t="s">
        <v>92</v>
      </c>
      <c r="IN24" t="s">
        <v>92</v>
      </c>
      <c r="IO24" s="1">
        <v>666376</v>
      </c>
      <c r="IP24" t="s">
        <v>92</v>
      </c>
      <c r="IQ24" t="s">
        <v>92</v>
      </c>
      <c r="IR24" t="s">
        <v>92</v>
      </c>
      <c r="IS24" s="1">
        <v>699842</v>
      </c>
      <c r="IT24" t="s">
        <v>92</v>
      </c>
      <c r="IU24" t="s">
        <v>92</v>
      </c>
      <c r="IV24" t="s">
        <v>92</v>
      </c>
      <c r="IW24" s="1">
        <v>748104</v>
      </c>
      <c r="IX24" t="s">
        <v>92</v>
      </c>
      <c r="IY24" t="s">
        <v>92</v>
      </c>
      <c r="IZ24" t="s">
        <v>92</v>
      </c>
      <c r="JA24" s="1">
        <v>778501</v>
      </c>
      <c r="JB24" t="s">
        <v>92</v>
      </c>
      <c r="JC24" t="s">
        <v>92</v>
      </c>
      <c r="JD24" t="s">
        <v>92</v>
      </c>
      <c r="JE24" s="1">
        <v>760904</v>
      </c>
      <c r="JF24" t="s">
        <v>92</v>
      </c>
      <c r="JG24" t="s">
        <v>92</v>
      </c>
      <c r="JH24" t="s">
        <v>92</v>
      </c>
      <c r="JI24" s="1">
        <v>808937</v>
      </c>
      <c r="JJ24" s="1">
        <v>783139</v>
      </c>
      <c r="JK24" s="1">
        <v>828369</v>
      </c>
      <c r="JL24" s="1">
        <v>867444</v>
      </c>
      <c r="JM24" s="1">
        <v>908809</v>
      </c>
      <c r="JN24" s="1">
        <v>978688</v>
      </c>
      <c r="JO24" s="1">
        <v>1019580</v>
      </c>
      <c r="JP24" s="1">
        <v>1059016</v>
      </c>
      <c r="JQ24" s="1">
        <v>1082284</v>
      </c>
      <c r="JR24" s="1">
        <v>1085318</v>
      </c>
      <c r="JS24" s="1">
        <v>1017323</v>
      </c>
      <c r="JT24" s="1">
        <v>984026</v>
      </c>
      <c r="JU24" s="1">
        <v>982013</v>
      </c>
      <c r="JV24" s="1">
        <v>1008677</v>
      </c>
      <c r="JW24" s="1">
        <v>1018565</v>
      </c>
      <c r="JX24" s="1">
        <v>992102</v>
      </c>
      <c r="JY24" s="1">
        <v>996641</v>
      </c>
      <c r="JZ24" s="1">
        <v>1024797</v>
      </c>
      <c r="KA24" t="s">
        <v>92</v>
      </c>
      <c r="KB24" t="s">
        <v>92</v>
      </c>
      <c r="KC24" t="s">
        <v>92</v>
      </c>
      <c r="KD24" s="1">
        <v>1748713</v>
      </c>
      <c r="KE24" t="s">
        <v>92</v>
      </c>
      <c r="KF24" t="s">
        <v>92</v>
      </c>
      <c r="KG24" t="s">
        <v>92</v>
      </c>
      <c r="KH24" s="1">
        <v>1790035</v>
      </c>
      <c r="KI24" t="s">
        <v>92</v>
      </c>
      <c r="KJ24" t="s">
        <v>92</v>
      </c>
      <c r="KK24" t="s">
        <v>92</v>
      </c>
      <c r="KL24" s="1">
        <v>1902479</v>
      </c>
      <c r="KM24" t="s">
        <v>92</v>
      </c>
      <c r="KN24" t="s">
        <v>92</v>
      </c>
      <c r="KO24" t="s">
        <v>92</v>
      </c>
      <c r="KP24" s="1">
        <v>2010335</v>
      </c>
      <c r="KQ24" t="s">
        <v>92</v>
      </c>
      <c r="KR24" t="s">
        <v>92</v>
      </c>
      <c r="KS24" t="s">
        <v>92</v>
      </c>
      <c r="KT24" s="1">
        <v>2147564</v>
      </c>
      <c r="KU24" t="s">
        <v>92</v>
      </c>
      <c r="KV24" t="s">
        <v>92</v>
      </c>
      <c r="KW24" t="s">
        <v>92</v>
      </c>
      <c r="KX24" s="1">
        <v>2254305</v>
      </c>
      <c r="KY24" t="s">
        <v>92</v>
      </c>
      <c r="KZ24" t="s">
        <v>92</v>
      </c>
      <c r="LA24" t="s">
        <v>92</v>
      </c>
      <c r="LB24" s="1">
        <v>2411277</v>
      </c>
      <c r="LC24" t="s">
        <v>92</v>
      </c>
      <c r="LD24" t="s">
        <v>92</v>
      </c>
      <c r="LE24" t="s">
        <v>92</v>
      </c>
      <c r="LF24" s="1">
        <v>2516117</v>
      </c>
      <c r="LG24" t="s">
        <v>92</v>
      </c>
      <c r="LH24" t="s">
        <v>92</v>
      </c>
      <c r="LI24" t="s">
        <v>92</v>
      </c>
      <c r="LJ24" s="1">
        <v>2508435</v>
      </c>
      <c r="LK24" t="s">
        <v>92</v>
      </c>
      <c r="LL24" t="s">
        <v>92</v>
      </c>
      <c r="LM24" t="s">
        <v>92</v>
      </c>
      <c r="LN24" s="1">
        <v>2687328</v>
      </c>
      <c r="LO24" s="1">
        <v>2588455</v>
      </c>
      <c r="LP24" s="1">
        <v>2744863</v>
      </c>
      <c r="LQ24" s="1">
        <v>2876943</v>
      </c>
      <c r="LR24" s="1">
        <v>2993784</v>
      </c>
      <c r="LS24" s="1">
        <v>3188403</v>
      </c>
      <c r="LT24" s="1">
        <v>3324372</v>
      </c>
      <c r="LU24" s="1">
        <v>3427702</v>
      </c>
      <c r="LV24" s="1">
        <v>3475369</v>
      </c>
      <c r="LW24" s="1">
        <v>3471667</v>
      </c>
      <c r="LX24" s="1">
        <v>3283463</v>
      </c>
      <c r="LY24" s="1">
        <v>3211161</v>
      </c>
      <c r="LZ24" s="1">
        <v>3235140</v>
      </c>
      <c r="MA24" s="1">
        <v>3312592</v>
      </c>
      <c r="MB24" s="1">
        <v>3348907</v>
      </c>
      <c r="MC24" s="1">
        <v>3269745</v>
      </c>
      <c r="MD24" s="1">
        <v>3311107</v>
      </c>
      <c r="ME24" s="1">
        <v>3412111</v>
      </c>
    </row>
    <row r="26" spans="1:343" x14ac:dyDescent="0.25">
      <c r="A26" t="s">
        <v>93</v>
      </c>
    </row>
    <row r="27" spans="1:343" x14ac:dyDescent="0.25">
      <c r="A27" t="s">
        <v>92</v>
      </c>
      <c r="B27" t="s">
        <v>94</v>
      </c>
    </row>
    <row r="32" spans="1:343" x14ac:dyDescent="0.25">
      <c r="A32" t="s">
        <v>41</v>
      </c>
    </row>
    <row r="33" spans="1:2" x14ac:dyDescent="0.25">
      <c r="A33">
        <v>1</v>
      </c>
      <c r="B33" t="s">
        <v>348</v>
      </c>
    </row>
    <row r="34" spans="1:2" x14ac:dyDescent="0.25">
      <c r="A34">
        <v>2</v>
      </c>
      <c r="B34" t="s">
        <v>349</v>
      </c>
    </row>
    <row r="35" spans="1:2" x14ac:dyDescent="0.25">
      <c r="A35">
        <v>3</v>
      </c>
      <c r="B35" t="s">
        <v>350</v>
      </c>
    </row>
    <row r="36" spans="1:2" x14ac:dyDescent="0.25">
      <c r="A36">
        <v>4</v>
      </c>
      <c r="B36" t="s">
        <v>351</v>
      </c>
    </row>
    <row r="37" spans="1:2" x14ac:dyDescent="0.25">
      <c r="A37">
        <v>5</v>
      </c>
      <c r="B37" t="s">
        <v>352</v>
      </c>
    </row>
    <row r="38" spans="1:2" x14ac:dyDescent="0.25">
      <c r="A38">
        <v>6</v>
      </c>
      <c r="B38" t="s">
        <v>353</v>
      </c>
    </row>
    <row r="42" spans="1:2" x14ac:dyDescent="0.25">
      <c r="A42" t="s">
        <v>354</v>
      </c>
    </row>
    <row r="43" spans="1:2" x14ac:dyDescent="0.25">
      <c r="A43" t="s">
        <v>355</v>
      </c>
    </row>
  </sheetData>
  <hyperlinks>
    <hyperlink ref="A6" r:id="rId1" display="https://www150.statcan.gc.ca/t1/tbl1/en/cv!recreate.action?pid=3610066001&amp;selectedNodeIds=2D3,3D53,3D54,3D55,3D56,3D57&amp;checkedLevels=0D1,2D1,3D1,3D2,3D3&amp;refPeriods=20100101,20241001&amp;dimensionLayouts=layout2,layout2,layout2,layout3,layout2&amp;vectorDisplay=false" xr:uid="{00000000-0004-0000-0C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DAC5C-181C-4E12-9F34-3E4D7914484F}">
  <dimension ref="B1:AA60"/>
  <sheetViews>
    <sheetView topLeftCell="A41" workbookViewId="0">
      <selection activeCell="A55" sqref="A55"/>
    </sheetView>
  </sheetViews>
  <sheetFormatPr defaultColWidth="12.7109375" defaultRowHeight="15" x14ac:dyDescent="0.25"/>
  <cols>
    <col min="1" max="1" width="2.7109375" customWidth="1"/>
  </cols>
  <sheetData>
    <row r="1" spans="2:8" ht="18.75" x14ac:dyDescent="0.3">
      <c r="B1" s="12" t="s">
        <v>197</v>
      </c>
    </row>
    <row r="2" spans="2:8" x14ac:dyDescent="0.25">
      <c r="B2" t="s">
        <v>196</v>
      </c>
    </row>
    <row r="3" spans="2:8" ht="17.25" x14ac:dyDescent="0.4">
      <c r="B3" s="8"/>
      <c r="C3" s="9" t="s">
        <v>103</v>
      </c>
      <c r="D3" s="9"/>
      <c r="E3" s="9"/>
      <c r="F3" s="9"/>
      <c r="G3" s="9"/>
      <c r="H3" s="9"/>
    </row>
    <row r="4" spans="2:8" ht="30" x14ac:dyDescent="0.25">
      <c r="B4" s="21" t="s">
        <v>105</v>
      </c>
      <c r="C4" s="10" t="s">
        <v>98</v>
      </c>
      <c r="D4" s="10" t="s">
        <v>99</v>
      </c>
      <c r="E4" s="10" t="s">
        <v>100</v>
      </c>
      <c r="F4" s="10" t="s">
        <v>101</v>
      </c>
      <c r="G4" s="10" t="s">
        <v>102</v>
      </c>
      <c r="H4" s="10" t="s">
        <v>97</v>
      </c>
    </row>
    <row r="5" spans="2:8" x14ac:dyDescent="0.25">
      <c r="B5" s="3">
        <v>1</v>
      </c>
      <c r="C5" s="46">
        <f>'2023 Drill Down'!C5</f>
        <v>32144</v>
      </c>
      <c r="D5" s="46">
        <f>'2023 Drill Down'!D5</f>
        <v>39230</v>
      </c>
      <c r="E5" s="46">
        <f>'2023 Drill Down'!E5</f>
        <v>39715</v>
      </c>
      <c r="F5" s="46">
        <f>'2023 Drill Down'!F5</f>
        <v>24610</v>
      </c>
      <c r="G5" s="46">
        <f>'2023 Drill Down'!G5</f>
        <v>28735</v>
      </c>
      <c r="H5" s="47">
        <f>'2023 Drill Down'!H5</f>
        <v>31604</v>
      </c>
    </row>
    <row r="6" spans="2:8" x14ac:dyDescent="0.25">
      <c r="B6" s="3">
        <v>2</v>
      </c>
      <c r="C6" s="46">
        <f>'2023 Drill Down'!C6</f>
        <v>75128</v>
      </c>
      <c r="D6" s="46">
        <f>'2023 Drill Down'!D6</f>
        <v>79366</v>
      </c>
      <c r="E6" s="46">
        <f>'2023 Drill Down'!E6</f>
        <v>62668</v>
      </c>
      <c r="F6" s="46">
        <f>'2023 Drill Down'!F6</f>
        <v>55594</v>
      </c>
      <c r="G6" s="46">
        <f>'2023 Drill Down'!G6</f>
        <v>44502</v>
      </c>
      <c r="H6" s="47">
        <f>'2023 Drill Down'!H6</f>
        <v>59447</v>
      </c>
    </row>
    <row r="7" spans="2:8" x14ac:dyDescent="0.25">
      <c r="B7" s="3">
        <v>3</v>
      </c>
      <c r="C7" s="46">
        <f>'2023 Drill Down'!C7</f>
        <v>89104</v>
      </c>
      <c r="D7" s="46">
        <f>'2023 Drill Down'!D7</f>
        <v>93589</v>
      </c>
      <c r="E7" s="46">
        <f>'2023 Drill Down'!E7</f>
        <v>98250</v>
      </c>
      <c r="F7" s="46">
        <f>'2023 Drill Down'!F7</f>
        <v>70228</v>
      </c>
      <c r="G7" s="46">
        <f>'2023 Drill Down'!G7</f>
        <v>58049</v>
      </c>
      <c r="H7" s="47">
        <f>'2023 Drill Down'!H7</f>
        <v>78998</v>
      </c>
    </row>
    <row r="8" spans="2:8" x14ac:dyDescent="0.25">
      <c r="B8" s="3">
        <v>4</v>
      </c>
      <c r="C8" s="46">
        <f>'2023 Drill Down'!C8</f>
        <v>119463</v>
      </c>
      <c r="D8" s="46">
        <f>'2023 Drill Down'!D8</f>
        <v>137538</v>
      </c>
      <c r="E8" s="46">
        <f>'2023 Drill Down'!E8</f>
        <v>135803</v>
      </c>
      <c r="F8" s="46">
        <f>'2023 Drill Down'!F8</f>
        <v>106872</v>
      </c>
      <c r="G8" s="46">
        <f>'2023 Drill Down'!G8</f>
        <v>79024</v>
      </c>
      <c r="H8" s="47">
        <f>'2023 Drill Down'!H8</f>
        <v>114315</v>
      </c>
    </row>
    <row r="9" spans="2:8" x14ac:dyDescent="0.25">
      <c r="B9" s="3">
        <v>5</v>
      </c>
      <c r="C9" s="46">
        <f>'2023 Drill Down'!C9</f>
        <v>182418</v>
      </c>
      <c r="D9" s="46">
        <f>'2023 Drill Down'!D9</f>
        <v>187629</v>
      </c>
      <c r="E9" s="46">
        <f>'2023 Drill Down'!E9</f>
        <v>262002</v>
      </c>
      <c r="F9" s="46">
        <f>'2023 Drill Down'!F9</f>
        <v>193320</v>
      </c>
      <c r="G9" s="46">
        <f>'2023 Drill Down'!G9</f>
        <v>167492</v>
      </c>
      <c r="H9" s="47">
        <f>'2023 Drill Down'!H9</f>
        <v>197667</v>
      </c>
    </row>
    <row r="10" spans="2:8" ht="15.75" thickBot="1" x14ac:dyDescent="0.3">
      <c r="B10" s="11" t="s">
        <v>97</v>
      </c>
      <c r="C10" s="48">
        <f>'2023 Drill Down'!C10</f>
        <v>97767</v>
      </c>
      <c r="D10" s="48">
        <f>'2023 Drill Down'!D10</f>
        <v>112274</v>
      </c>
      <c r="E10" s="48">
        <f>'2023 Drill Down'!E10</f>
        <v>130133</v>
      </c>
      <c r="F10" s="48">
        <f>'2023 Drill Down'!F10</f>
        <v>101450</v>
      </c>
      <c r="G10" s="48">
        <f>'2023 Drill Down'!G10</f>
        <v>65738</v>
      </c>
      <c r="H10" s="49">
        <f>'2023 Drill Down'!H10</f>
        <v>96406</v>
      </c>
    </row>
    <row r="11" spans="2:8" x14ac:dyDescent="0.25">
      <c r="C11" s="20"/>
      <c r="D11" s="20"/>
      <c r="E11" s="20"/>
      <c r="F11" s="20"/>
      <c r="G11" s="20"/>
      <c r="H11" s="20"/>
    </row>
    <row r="12" spans="2:8" x14ac:dyDescent="0.25">
      <c r="C12" s="13"/>
      <c r="D12" s="13"/>
      <c r="E12" s="13"/>
      <c r="F12" s="13"/>
      <c r="G12" s="13"/>
      <c r="H12" s="13"/>
    </row>
    <row r="13" spans="2:8" x14ac:dyDescent="0.25">
      <c r="C13" s="20"/>
      <c r="D13" s="20"/>
      <c r="E13" s="20"/>
      <c r="F13" s="20"/>
      <c r="G13" s="20"/>
      <c r="H13" s="20"/>
    </row>
    <row r="15" spans="2:8" ht="18.75" x14ac:dyDescent="0.3">
      <c r="B15" s="12" t="s">
        <v>198</v>
      </c>
    </row>
    <row r="16" spans="2:8" x14ac:dyDescent="0.25">
      <c r="B16" t="s">
        <v>196</v>
      </c>
    </row>
    <row r="17" spans="2:8" ht="17.25" x14ac:dyDescent="0.4">
      <c r="B17" s="8"/>
      <c r="C17" s="9" t="s">
        <v>103</v>
      </c>
      <c r="D17" s="9"/>
      <c r="E17" s="9"/>
      <c r="F17" s="9"/>
      <c r="G17" s="9"/>
      <c r="H17" s="9"/>
    </row>
    <row r="18" spans="2:8" ht="30" x14ac:dyDescent="0.25">
      <c r="B18" s="21" t="s">
        <v>105</v>
      </c>
      <c r="C18" s="10" t="s">
        <v>98</v>
      </c>
      <c r="D18" s="10" t="s">
        <v>99</v>
      </c>
      <c r="E18" s="10" t="s">
        <v>100</v>
      </c>
      <c r="F18" s="10" t="s">
        <v>101</v>
      </c>
      <c r="G18" s="10" t="s">
        <v>102</v>
      </c>
      <c r="H18" s="10" t="s">
        <v>97</v>
      </c>
    </row>
    <row r="19" spans="2:8" x14ac:dyDescent="0.25">
      <c r="B19" s="3">
        <v>1</v>
      </c>
      <c r="C19" s="46">
        <f>'2023 Drill Down'!C19</f>
        <v>62761</v>
      </c>
      <c r="D19" s="46">
        <f>'2023 Drill Down'!D19</f>
        <v>63254</v>
      </c>
      <c r="E19" s="46">
        <f>'2023 Drill Down'!E19</f>
        <v>76767</v>
      </c>
      <c r="F19" s="46">
        <f>'2023 Drill Down'!F19</f>
        <v>71238</v>
      </c>
      <c r="G19" s="46">
        <f>'2023 Drill Down'!G19</f>
        <v>52572</v>
      </c>
      <c r="H19" s="47">
        <f>'2023 Drill Down'!H19</f>
        <v>61968</v>
      </c>
    </row>
    <row r="20" spans="2:8" x14ac:dyDescent="0.25">
      <c r="B20" s="3">
        <v>2</v>
      </c>
      <c r="C20" s="46">
        <f>'2023 Drill Down'!C20</f>
        <v>81310</v>
      </c>
      <c r="D20" s="46">
        <f>'2023 Drill Down'!D20</f>
        <v>97176</v>
      </c>
      <c r="E20" s="46">
        <f>'2023 Drill Down'!E20</f>
        <v>86855</v>
      </c>
      <c r="F20" s="46">
        <f>'2023 Drill Down'!F20</f>
        <v>84889</v>
      </c>
      <c r="G20" s="46">
        <f>'2023 Drill Down'!G20</f>
        <v>55746</v>
      </c>
      <c r="H20" s="47">
        <f>'2023 Drill Down'!H20</f>
        <v>75118</v>
      </c>
    </row>
    <row r="21" spans="2:8" x14ac:dyDescent="0.25">
      <c r="B21" s="3">
        <v>3</v>
      </c>
      <c r="C21" s="46">
        <f>'2023 Drill Down'!C21</f>
        <v>88214</v>
      </c>
      <c r="D21" s="46">
        <f>'2023 Drill Down'!D21</f>
        <v>99908</v>
      </c>
      <c r="E21" s="46">
        <f>'2023 Drill Down'!E21</f>
        <v>126342</v>
      </c>
      <c r="F21" s="46">
        <f>'2023 Drill Down'!F21</f>
        <v>93812</v>
      </c>
      <c r="G21" s="46">
        <f>'2023 Drill Down'!G21</f>
        <v>68078</v>
      </c>
      <c r="H21" s="47">
        <f>'2023 Drill Down'!H21</f>
        <v>91266</v>
      </c>
    </row>
    <row r="22" spans="2:8" x14ac:dyDescent="0.25">
      <c r="B22" s="3">
        <v>4</v>
      </c>
      <c r="C22" s="46">
        <f>'2023 Drill Down'!C22</f>
        <v>88615</v>
      </c>
      <c r="D22" s="46">
        <f>'2023 Drill Down'!D22</f>
        <v>112438</v>
      </c>
      <c r="E22" s="46">
        <f>'2023 Drill Down'!E22</f>
        <v>135533</v>
      </c>
      <c r="F22" s="46">
        <f>'2023 Drill Down'!F22</f>
        <v>114766</v>
      </c>
      <c r="G22" s="46">
        <f>'2023 Drill Down'!G22</f>
        <v>72967</v>
      </c>
      <c r="H22" s="47">
        <f>'2023 Drill Down'!H22</f>
        <v>103168</v>
      </c>
    </row>
    <row r="23" spans="2:8" x14ac:dyDescent="0.25">
      <c r="B23" s="3">
        <v>5</v>
      </c>
      <c r="C23" s="46">
        <f>'2023 Drill Down'!C23</f>
        <v>128919</v>
      </c>
      <c r="D23" s="46">
        <f>'2023 Drill Down'!D23</f>
        <v>131586</v>
      </c>
      <c r="E23" s="46">
        <f>'2023 Drill Down'!E23</f>
        <v>183861</v>
      </c>
      <c r="F23" s="46">
        <f>'2023 Drill Down'!F23</f>
        <v>146632</v>
      </c>
      <c r="G23" s="46">
        <f>'2023 Drill Down'!G23</f>
        <v>96602</v>
      </c>
      <c r="H23" s="47">
        <f>'2023 Drill Down'!H23</f>
        <v>137015</v>
      </c>
    </row>
    <row r="24" spans="2:8" ht="15.75" thickBot="1" x14ac:dyDescent="0.3">
      <c r="B24" s="11" t="s">
        <v>97</v>
      </c>
      <c r="C24" s="48">
        <f>'2023 Drill Down'!C24</f>
        <v>88914</v>
      </c>
      <c r="D24" s="48">
        <f>'2023 Drill Down'!D24</f>
        <v>103075</v>
      </c>
      <c r="E24" s="48">
        <f>'2023 Drill Down'!E24</f>
        <v>127283</v>
      </c>
      <c r="F24" s="48">
        <f>'2023 Drill Down'!F24</f>
        <v>107382</v>
      </c>
      <c r="G24" s="48">
        <f>'2023 Drill Down'!G24</f>
        <v>65742</v>
      </c>
      <c r="H24" s="49">
        <f>'2023 Drill Down'!H24</f>
        <v>93707</v>
      </c>
    </row>
    <row r="25" spans="2:8" x14ac:dyDescent="0.25">
      <c r="C25" s="20"/>
      <c r="D25" s="20"/>
      <c r="E25" s="20"/>
      <c r="F25" s="20"/>
      <c r="G25" s="20"/>
      <c r="H25" s="20"/>
    </row>
    <row r="26" spans="2:8" x14ac:dyDescent="0.25">
      <c r="C26" s="13"/>
      <c r="D26" s="13"/>
      <c r="E26" s="13"/>
      <c r="F26" s="13"/>
      <c r="G26" s="13"/>
      <c r="H26" s="13"/>
    </row>
    <row r="27" spans="2:8" x14ac:dyDescent="0.25">
      <c r="C27" s="20"/>
      <c r="D27" s="20"/>
      <c r="E27" s="20"/>
      <c r="F27" s="20"/>
      <c r="G27" s="20"/>
      <c r="H27" s="20"/>
    </row>
    <row r="28" spans="2:8" x14ac:dyDescent="0.25">
      <c r="C28" s="20"/>
      <c r="D28" s="20"/>
      <c r="E28" s="20"/>
      <c r="F28" s="20"/>
      <c r="G28" s="20"/>
      <c r="H28" s="20"/>
    </row>
    <row r="29" spans="2:8" ht="18.75" x14ac:dyDescent="0.3">
      <c r="B29" s="12" t="s">
        <v>199</v>
      </c>
    </row>
    <row r="30" spans="2:8" x14ac:dyDescent="0.25">
      <c r="B30" t="s">
        <v>196</v>
      </c>
    </row>
    <row r="31" spans="2:8" ht="17.25" x14ac:dyDescent="0.4">
      <c r="B31" s="8"/>
      <c r="C31" s="9" t="s">
        <v>103</v>
      </c>
      <c r="D31" s="9"/>
      <c r="E31" s="9"/>
      <c r="F31" s="9"/>
      <c r="G31" s="9"/>
      <c r="H31" s="9"/>
    </row>
    <row r="32" spans="2:8" ht="30" x14ac:dyDescent="0.25">
      <c r="B32" s="21" t="s">
        <v>105</v>
      </c>
      <c r="C32" s="10" t="s">
        <v>98</v>
      </c>
      <c r="D32" s="10" t="s">
        <v>99</v>
      </c>
      <c r="E32" s="10" t="s">
        <v>100</v>
      </c>
      <c r="F32" s="10" t="s">
        <v>101</v>
      </c>
      <c r="G32" s="10" t="s">
        <v>102</v>
      </c>
      <c r="H32" s="10" t="s">
        <v>97</v>
      </c>
    </row>
    <row r="33" spans="2:8" x14ac:dyDescent="0.25">
      <c r="B33" s="3">
        <v>1</v>
      </c>
      <c r="C33" s="42">
        <f>'2023 Drill Down'!C33</f>
        <v>-30617</v>
      </c>
      <c r="D33" s="42">
        <f>'2023 Drill Down'!D33</f>
        <v>-24024</v>
      </c>
      <c r="E33" s="42">
        <f>'2023 Drill Down'!E33</f>
        <v>-37052</v>
      </c>
      <c r="F33" s="42">
        <f>'2023 Drill Down'!F33</f>
        <v>-46628</v>
      </c>
      <c r="G33" s="42">
        <f>'2023 Drill Down'!G33</f>
        <v>-23837</v>
      </c>
      <c r="H33" s="43">
        <f>'2023 Drill Down'!H33</f>
        <v>-30364</v>
      </c>
    </row>
    <row r="34" spans="2:8" x14ac:dyDescent="0.25">
      <c r="B34" s="3">
        <v>2</v>
      </c>
      <c r="C34" s="42">
        <f>'2023 Drill Down'!C34</f>
        <v>-6182</v>
      </c>
      <c r="D34" s="42">
        <f>'2023 Drill Down'!D34</f>
        <v>-17810</v>
      </c>
      <c r="E34" s="42">
        <f>'2023 Drill Down'!E34</f>
        <v>-24187</v>
      </c>
      <c r="F34" s="42">
        <f>'2023 Drill Down'!F34</f>
        <v>-29295</v>
      </c>
      <c r="G34" s="42">
        <f>'2023 Drill Down'!G34</f>
        <v>-11244</v>
      </c>
      <c r="H34" s="43">
        <f>'2023 Drill Down'!H34</f>
        <v>-15671</v>
      </c>
    </row>
    <row r="35" spans="2:8" x14ac:dyDescent="0.25">
      <c r="B35" s="3">
        <v>3</v>
      </c>
      <c r="C35" s="42">
        <f>'2023 Drill Down'!C35</f>
        <v>890</v>
      </c>
      <c r="D35" s="42">
        <f>'2023 Drill Down'!D35</f>
        <v>-6319</v>
      </c>
      <c r="E35" s="42">
        <f>'2023 Drill Down'!E35</f>
        <v>-28092</v>
      </c>
      <c r="F35" s="42">
        <f>'2023 Drill Down'!F35</f>
        <v>-23584</v>
      </c>
      <c r="G35" s="42">
        <f>'2023 Drill Down'!G35</f>
        <v>-10029</v>
      </c>
      <c r="H35" s="43">
        <f>'2023 Drill Down'!H35</f>
        <v>-12268</v>
      </c>
    </row>
    <row r="36" spans="2:8" x14ac:dyDescent="0.25">
      <c r="B36" s="3">
        <v>4</v>
      </c>
      <c r="C36" s="42">
        <f>'2023 Drill Down'!C36</f>
        <v>30848</v>
      </c>
      <c r="D36" s="42">
        <f>'2023 Drill Down'!D36</f>
        <v>25100</v>
      </c>
      <c r="E36" s="42">
        <f>'2023 Drill Down'!E36</f>
        <v>270</v>
      </c>
      <c r="F36" s="42">
        <f>'2023 Drill Down'!F36</f>
        <v>-7894</v>
      </c>
      <c r="G36" s="42">
        <f>'2023 Drill Down'!G36</f>
        <v>6057</v>
      </c>
      <c r="H36" s="43">
        <f>'2023 Drill Down'!H36</f>
        <v>11147</v>
      </c>
    </row>
    <row r="37" spans="2:8" x14ac:dyDescent="0.25">
      <c r="B37" s="3">
        <v>5</v>
      </c>
      <c r="C37" s="42">
        <f>'2023 Drill Down'!C37</f>
        <v>53499</v>
      </c>
      <c r="D37" s="42">
        <f>'2023 Drill Down'!D37</f>
        <v>56043</v>
      </c>
      <c r="E37" s="42">
        <f>'2023 Drill Down'!E37</f>
        <v>78141</v>
      </c>
      <c r="F37" s="42">
        <f>'2023 Drill Down'!F37</f>
        <v>46688</v>
      </c>
      <c r="G37" s="42">
        <f>'2023 Drill Down'!G37</f>
        <v>70890</v>
      </c>
      <c r="H37" s="43">
        <f>'2023 Drill Down'!H37</f>
        <v>60652</v>
      </c>
    </row>
    <row r="38" spans="2:8" ht="15.75" thickBot="1" x14ac:dyDescent="0.3">
      <c r="B38" s="11" t="s">
        <v>97</v>
      </c>
      <c r="C38" s="44">
        <f>'2023 Drill Down'!C38</f>
        <v>8853</v>
      </c>
      <c r="D38" s="44">
        <f>'2023 Drill Down'!D38</f>
        <v>9199</v>
      </c>
      <c r="E38" s="44">
        <f>'2023 Drill Down'!E38</f>
        <v>2850</v>
      </c>
      <c r="F38" s="44">
        <f>'2023 Drill Down'!F38</f>
        <v>-5932</v>
      </c>
      <c r="G38" s="44">
        <f>'2023 Drill Down'!G38</f>
        <v>-4</v>
      </c>
      <c r="H38" s="45">
        <f>'2023 Drill Down'!H38</f>
        <v>2699</v>
      </c>
    </row>
    <row r="39" spans="2:8" x14ac:dyDescent="0.25">
      <c r="C39" s="20"/>
      <c r="D39" s="20"/>
      <c r="E39" s="20"/>
      <c r="F39" s="20"/>
      <c r="G39" s="20"/>
      <c r="H39" s="20"/>
    </row>
    <row r="40" spans="2:8" x14ac:dyDescent="0.25">
      <c r="D40" s="13"/>
      <c r="E40" s="13"/>
      <c r="F40" s="13"/>
      <c r="G40" s="13"/>
      <c r="H40" s="13"/>
    </row>
    <row r="41" spans="2:8" x14ac:dyDescent="0.25">
      <c r="D41" s="20"/>
      <c r="E41" s="20"/>
      <c r="F41" s="20"/>
      <c r="G41" s="20"/>
      <c r="H41" s="20"/>
    </row>
    <row r="43" spans="2:8" ht="18.75" x14ac:dyDescent="0.3">
      <c r="B43" s="12" t="s">
        <v>106</v>
      </c>
    </row>
    <row r="44" spans="2:8" x14ac:dyDescent="0.25">
      <c r="B44" t="s">
        <v>200</v>
      </c>
    </row>
    <row r="45" spans="2:8" ht="17.25" x14ac:dyDescent="0.4">
      <c r="B45" s="8"/>
      <c r="C45" s="9" t="s">
        <v>103</v>
      </c>
      <c r="D45" s="9"/>
      <c r="E45" s="9"/>
      <c r="F45" s="9"/>
      <c r="G45" s="9"/>
      <c r="H45" s="9"/>
    </row>
    <row r="46" spans="2:8" ht="30" x14ac:dyDescent="0.25">
      <c r="B46" s="21" t="s">
        <v>105</v>
      </c>
      <c r="C46" s="10" t="s">
        <v>98</v>
      </c>
      <c r="D46" s="10" t="s">
        <v>99</v>
      </c>
      <c r="E46" s="10" t="s">
        <v>100</v>
      </c>
      <c r="F46" s="10" t="s">
        <v>101</v>
      </c>
      <c r="G46" s="10" t="s">
        <v>102</v>
      </c>
      <c r="H46" s="10" t="s">
        <v>97</v>
      </c>
    </row>
    <row r="47" spans="2:8" x14ac:dyDescent="0.25">
      <c r="B47" s="3">
        <v>1</v>
      </c>
      <c r="C47" s="38">
        <f>'2023 Drill Down'!C47</f>
        <v>-0.95249502239920358</v>
      </c>
      <c r="D47" s="38">
        <f>'2023 Drill Down'!D47</f>
        <v>-0.61238847820545506</v>
      </c>
      <c r="E47" s="38">
        <f>'2023 Drill Down'!E47</f>
        <v>-0.93294724915019511</v>
      </c>
      <c r="F47" s="38">
        <f>'2023 Drill Down'!F47</f>
        <v>-1.8946769605851279</v>
      </c>
      <c r="G47" s="38">
        <f>'2023 Drill Down'!G47</f>
        <v>-0.82954585000870018</v>
      </c>
      <c r="H47" s="39">
        <f>'2023 Drill Down'!H47</f>
        <v>-0.96076446019491202</v>
      </c>
    </row>
    <row r="48" spans="2:8" x14ac:dyDescent="0.25">
      <c r="B48" s="3">
        <v>2</v>
      </c>
      <c r="C48" s="38">
        <f>'2023 Drill Down'!C48</f>
        <v>-8.2286231498243004E-2</v>
      </c>
      <c r="D48" s="38">
        <f>'2023 Drill Down'!D48</f>
        <v>-0.22440339692059572</v>
      </c>
      <c r="E48" s="38">
        <f>'2023 Drill Down'!E48</f>
        <v>-0.38595455415842217</v>
      </c>
      <c r="F48" s="38">
        <f>'2023 Drill Down'!F48</f>
        <v>-0.52694535381515994</v>
      </c>
      <c r="G48" s="38">
        <f>'2023 Drill Down'!G48</f>
        <v>-0.25266280167183497</v>
      </c>
      <c r="H48" s="39">
        <f>'2023 Drill Down'!H48</f>
        <v>-0.26361296617154778</v>
      </c>
    </row>
    <row r="49" spans="2:27" x14ac:dyDescent="0.25">
      <c r="B49" s="3">
        <v>3</v>
      </c>
      <c r="C49" s="38">
        <f>'2023 Drill Down'!C49</f>
        <v>9.9883282456455381E-3</v>
      </c>
      <c r="D49" s="38">
        <f>'2023 Drill Down'!D49</f>
        <v>-6.7518618641079609E-2</v>
      </c>
      <c r="E49" s="38">
        <f>'2023 Drill Down'!E49</f>
        <v>-0.28592366412213738</v>
      </c>
      <c r="F49" s="38">
        <f>'2023 Drill Down'!F49</f>
        <v>-0.33582047046761976</v>
      </c>
      <c r="G49" s="38">
        <f>'2023 Drill Down'!G49</f>
        <v>-0.17276783407121571</v>
      </c>
      <c r="H49" s="39">
        <f>'2023 Drill Down'!H49</f>
        <v>-0.1552950707612851</v>
      </c>
    </row>
    <row r="50" spans="2:27" x14ac:dyDescent="0.25">
      <c r="B50" s="3">
        <v>4</v>
      </c>
      <c r="C50" s="38">
        <f>'2023 Drill Down'!C50</f>
        <v>0.25822221106116539</v>
      </c>
      <c r="D50" s="38">
        <f>'2023 Drill Down'!D50</f>
        <v>0.18249501955823119</v>
      </c>
      <c r="E50" s="38">
        <f>'2023 Drill Down'!E50</f>
        <v>1.9881740462287284E-3</v>
      </c>
      <c r="F50" s="38">
        <f>'2023 Drill Down'!F50</f>
        <v>-7.3864061681263568E-2</v>
      </c>
      <c r="G50" s="38">
        <f>'2023 Drill Down'!G50</f>
        <v>7.6647600728892484E-2</v>
      </c>
      <c r="H50" s="39">
        <f>'2023 Drill Down'!H50</f>
        <v>9.7511262738923146E-2</v>
      </c>
    </row>
    <row r="51" spans="2:27" x14ac:dyDescent="0.25">
      <c r="B51" s="3">
        <v>5</v>
      </c>
      <c r="C51" s="38">
        <f>'2023 Drill Down'!C51</f>
        <v>0.29327697924546919</v>
      </c>
      <c r="D51" s="38">
        <f>'2023 Drill Down'!D51</f>
        <v>0.29869050093535648</v>
      </c>
      <c r="E51" s="38">
        <f>'2023 Drill Down'!E51</f>
        <v>0.2982458149174434</v>
      </c>
      <c r="F51" s="38">
        <f>'2023 Drill Down'!F51</f>
        <v>0.2415063107800538</v>
      </c>
      <c r="G51" s="38">
        <f>'2023 Drill Down'!G51</f>
        <v>0.42324409524036971</v>
      </c>
      <c r="H51" s="39">
        <f>'2023 Drill Down'!H51</f>
        <v>0.3068392802035747</v>
      </c>
    </row>
    <row r="52" spans="2:27" ht="15.75" thickBot="1" x14ac:dyDescent="0.3">
      <c r="B52" s="11" t="s">
        <v>97</v>
      </c>
      <c r="C52" s="40">
        <f>'2023 Drill Down'!C52</f>
        <v>9.0552026757494866E-2</v>
      </c>
      <c r="D52" s="40">
        <f>'2023 Drill Down'!D52</f>
        <v>8.1933484154835493E-2</v>
      </c>
      <c r="E52" s="40">
        <f>'2023 Drill Down'!E52</f>
        <v>2.1900670852128209E-2</v>
      </c>
      <c r="F52" s="40">
        <f>'2023 Drill Down'!F52</f>
        <v>-5.8472153770330215E-2</v>
      </c>
      <c r="G52" s="40">
        <f>'2023 Drill Down'!G52</f>
        <v>-6.0847607167848126E-5</v>
      </c>
      <c r="H52" s="41">
        <f>'2023 Drill Down'!H52</f>
        <v>2.7996182810198535E-2</v>
      </c>
    </row>
    <row r="54" spans="2:27" x14ac:dyDescent="0.25">
      <c r="C54" t="s">
        <v>362</v>
      </c>
    </row>
    <row r="55" spans="2:27" ht="30" x14ac:dyDescent="0.25">
      <c r="B55" s="21" t="s">
        <v>105</v>
      </c>
      <c r="C55" s="8">
        <v>1999</v>
      </c>
      <c r="D55" s="8">
        <f>C55+1</f>
        <v>2000</v>
      </c>
      <c r="E55" s="8">
        <f t="shared" ref="E55:AA55" si="0">D55+1</f>
        <v>2001</v>
      </c>
      <c r="F55" s="8">
        <f t="shared" si="0"/>
        <v>2002</v>
      </c>
      <c r="G55" s="8">
        <f t="shared" si="0"/>
        <v>2003</v>
      </c>
      <c r="H55" s="8">
        <f t="shared" si="0"/>
        <v>2004</v>
      </c>
      <c r="I55" s="8">
        <f t="shared" si="0"/>
        <v>2005</v>
      </c>
      <c r="J55" s="8">
        <f t="shared" si="0"/>
        <v>2006</v>
      </c>
      <c r="K55" s="8">
        <f t="shared" si="0"/>
        <v>2007</v>
      </c>
      <c r="L55" s="8">
        <f t="shared" si="0"/>
        <v>2008</v>
      </c>
      <c r="M55" s="8">
        <f t="shared" si="0"/>
        <v>2009</v>
      </c>
      <c r="N55" s="8">
        <f t="shared" si="0"/>
        <v>2010</v>
      </c>
      <c r="O55" s="8">
        <f t="shared" si="0"/>
        <v>2011</v>
      </c>
      <c r="P55" s="8">
        <f t="shared" si="0"/>
        <v>2012</v>
      </c>
      <c r="Q55" s="8">
        <f t="shared" si="0"/>
        <v>2013</v>
      </c>
      <c r="R55" s="8">
        <f t="shared" si="0"/>
        <v>2014</v>
      </c>
      <c r="S55" s="8">
        <f t="shared" si="0"/>
        <v>2015</v>
      </c>
      <c r="T55" s="8">
        <f t="shared" si="0"/>
        <v>2016</v>
      </c>
      <c r="U55" s="8">
        <f t="shared" si="0"/>
        <v>2017</v>
      </c>
      <c r="V55" s="8">
        <f t="shared" si="0"/>
        <v>2018</v>
      </c>
      <c r="W55" s="8">
        <f t="shared" si="0"/>
        <v>2019</v>
      </c>
      <c r="X55" s="8">
        <f t="shared" si="0"/>
        <v>2020</v>
      </c>
      <c r="Y55" s="8">
        <f t="shared" si="0"/>
        <v>2021</v>
      </c>
      <c r="Z55" s="8">
        <f t="shared" si="0"/>
        <v>2022</v>
      </c>
      <c r="AA55" s="8">
        <f t="shared" si="0"/>
        <v>2023</v>
      </c>
    </row>
    <row r="56" spans="2:27" x14ac:dyDescent="0.25">
      <c r="B56" s="3">
        <v>1</v>
      </c>
      <c r="C56" s="50">
        <f>'All Ages Over Time'!C43</f>
        <v>-16144.603875134551</v>
      </c>
      <c r="D56" s="50">
        <f>'All Ages Over Time'!D43</f>
        <v>-18244.349056603773</v>
      </c>
      <c r="E56" s="50">
        <f>'All Ages Over Time'!E43</f>
        <v>-14648.209611451941</v>
      </c>
      <c r="F56" s="50">
        <f>'All Ages Over Time'!F43</f>
        <v>-17438.099999999999</v>
      </c>
      <c r="G56" s="50">
        <f>'All Ages Over Time'!G43</f>
        <v>-16788.916342412453</v>
      </c>
      <c r="H56" s="50">
        <f>'All Ages Over Time'!H43</f>
        <v>-19756.787965616048</v>
      </c>
      <c r="I56" s="50">
        <f>'All Ages Over Time'!I43</f>
        <v>-23384.408411214947</v>
      </c>
      <c r="J56" s="50">
        <f>'All Ages Over Time'!J43</f>
        <v>-25645.747021081577</v>
      </c>
      <c r="K56" s="50">
        <f>'All Ages Over Time'!K43</f>
        <v>-25830.621524663678</v>
      </c>
      <c r="L56" s="50">
        <f>'All Ages Over Time'!L43</f>
        <v>-27025.055214723929</v>
      </c>
      <c r="M56" s="50">
        <f>'All Ages Over Time'!M43</f>
        <v>-25064.590909090904</v>
      </c>
      <c r="N56" s="50">
        <f>'All Ages Over Time'!N43</f>
        <v>-26410.330472103007</v>
      </c>
      <c r="O56" s="50">
        <f>'All Ages Over Time'!O43</f>
        <v>-25087.520433694746</v>
      </c>
      <c r="P56" s="50">
        <f>'All Ages Over Time'!P43</f>
        <v>-25248.30649137223</v>
      </c>
      <c r="Q56" s="50">
        <f>'All Ages Over Time'!Q43</f>
        <v>-27896.763843648205</v>
      </c>
      <c r="R56" s="50">
        <f>'All Ages Over Time'!R43</f>
        <v>-29155.099840255589</v>
      </c>
      <c r="S56" s="50">
        <f>'All Ages Over Time'!S43</f>
        <v>-30231.202211690357</v>
      </c>
      <c r="T56" s="50">
        <f>'All Ages Over Time'!T43</f>
        <v>-30457.089563862926</v>
      </c>
      <c r="U56" s="50">
        <f>'All Ages Over Time'!U43</f>
        <v>-31469.394938650305</v>
      </c>
      <c r="V56" s="50">
        <f>'All Ages Over Time'!V43</f>
        <v>-31590.760869565216</v>
      </c>
      <c r="W56" s="50">
        <f>'All Ages Over Time'!W43</f>
        <v>-34628.998529411765</v>
      </c>
      <c r="X56" s="50">
        <f>'All Ages Over Time'!X43</f>
        <v>-19903.537956204374</v>
      </c>
      <c r="Y56" s="50">
        <f>'All Ages Over Time'!Y43</f>
        <v>-26618.242937853109</v>
      </c>
      <c r="Z56" s="50">
        <f>'All Ages Over Time'!Z43</f>
        <v>-29810.556216931214</v>
      </c>
      <c r="AA56" s="50">
        <f>'All Ages Over Time'!AA43</f>
        <v>-30364</v>
      </c>
    </row>
    <row r="57" spans="2:27" x14ac:dyDescent="0.25">
      <c r="B57" s="3">
        <v>2</v>
      </c>
      <c r="C57" s="50">
        <f>'All Ages Over Time'!C49</f>
        <v>-11264.188374596342</v>
      </c>
      <c r="D57" s="50">
        <f>'All Ages Over Time'!D49</f>
        <v>-11132.033542976933</v>
      </c>
      <c r="E57" s="50">
        <f>'All Ages Over Time'!E49</f>
        <v>-9215.5695296523481</v>
      </c>
      <c r="F57" s="50">
        <f>'All Ages Over Time'!F49</f>
        <v>-11015.851999999999</v>
      </c>
      <c r="G57" s="50">
        <f>'All Ages Over Time'!G49</f>
        <v>-12375.445525291827</v>
      </c>
      <c r="H57" s="50">
        <f>'All Ages Over Time'!H49</f>
        <v>-13774.38395415472</v>
      </c>
      <c r="I57" s="50">
        <f>'All Ages Over Time'!I49</f>
        <v>-14253.521495327106</v>
      </c>
      <c r="J57" s="50">
        <f>'All Ages Over Time'!J49</f>
        <v>-13647.972502291479</v>
      </c>
      <c r="K57" s="50">
        <f>'All Ages Over Time'!K49</f>
        <v>-14768.808968609868</v>
      </c>
      <c r="L57" s="50">
        <f>'All Ages Over Time'!L49</f>
        <v>-15559.921998247148</v>
      </c>
      <c r="M57" s="50">
        <f>'All Ages Over Time'!M49</f>
        <v>-13338.394230769234</v>
      </c>
      <c r="N57" s="50">
        <f>'All Ages Over Time'!N49</f>
        <v>-12735.213733905584</v>
      </c>
      <c r="O57" s="50">
        <f>'All Ages Over Time'!O49</f>
        <v>-14334.228523769802</v>
      </c>
      <c r="P57" s="50">
        <f>'All Ages Over Time'!P49</f>
        <v>-12601.56285949055</v>
      </c>
      <c r="Q57" s="50">
        <f>'All Ages Over Time'!Q49</f>
        <v>-12481.00651465798</v>
      </c>
      <c r="R57" s="50">
        <f>'All Ages Over Time'!R49</f>
        <v>-12960.750000000007</v>
      </c>
      <c r="S57" s="50">
        <f>'All Ages Over Time'!S49</f>
        <v>-13223.203791469197</v>
      </c>
      <c r="T57" s="50">
        <f>'All Ages Over Time'!T49</f>
        <v>-10782.883956386286</v>
      </c>
      <c r="U57" s="50">
        <f>'All Ages Over Time'!U49</f>
        <v>-12000.560582822094</v>
      </c>
      <c r="V57" s="50">
        <f>'All Ages Over Time'!V49</f>
        <v>-14415.750374812604</v>
      </c>
      <c r="W57" s="50">
        <f>'All Ages Over Time'!W49</f>
        <v>-16150.111029411768</v>
      </c>
      <c r="X57" s="50">
        <f>'All Ages Over Time'!X49</f>
        <v>-647.89416058393545</v>
      </c>
      <c r="Y57" s="50">
        <f>'All Ages Over Time'!Y49</f>
        <v>-8484.0656779661076</v>
      </c>
      <c r="Z57" s="50">
        <f>'All Ages Over Time'!Z49</f>
        <v>-13550.914021164026</v>
      </c>
      <c r="AA57" s="50">
        <f>'All Ages Over Time'!AA49</f>
        <v>-15671</v>
      </c>
    </row>
    <row r="58" spans="2:27" x14ac:dyDescent="0.25">
      <c r="B58" s="3">
        <v>3</v>
      </c>
      <c r="C58" s="50">
        <f>'All Ages Over Time'!C55</f>
        <v>-7758.6092572658818</v>
      </c>
      <c r="D58" s="50">
        <f>'All Ages Over Time'!D55</f>
        <v>-8770.5932914046134</v>
      </c>
      <c r="E58" s="50">
        <f>'All Ages Over Time'!E55</f>
        <v>-9446.8824130879366</v>
      </c>
      <c r="F58" s="50">
        <f>'All Ages Over Time'!F55</f>
        <v>-10411.016999999993</v>
      </c>
      <c r="G58" s="50">
        <f>'All Ages Over Time'!G55</f>
        <v>-9916.5554474708188</v>
      </c>
      <c r="H58" s="50">
        <f>'All Ages Over Time'!H55</f>
        <v>-9787.6150907354313</v>
      </c>
      <c r="I58" s="50">
        <f>'All Ages Over Time'!I55</f>
        <v>-11061.601869158869</v>
      </c>
      <c r="J58" s="50">
        <f>'All Ages Over Time'!J55</f>
        <v>-9618.9550870760868</v>
      </c>
      <c r="K58" s="50">
        <f>'All Ages Over Time'!K55</f>
        <v>-10233.339013452918</v>
      </c>
      <c r="L58" s="50">
        <f>'All Ages Over Time'!L55</f>
        <v>-8013.3391761612584</v>
      </c>
      <c r="M58" s="50">
        <f>'All Ages Over Time'!M55</f>
        <v>-6678.1232517482567</v>
      </c>
      <c r="N58" s="50">
        <f>'All Ages Over Time'!N55</f>
        <v>-5903.7236051502259</v>
      </c>
      <c r="O58" s="50">
        <f>'All Ages Over Time'!O55</f>
        <v>-7385.9274395329558</v>
      </c>
      <c r="P58" s="50">
        <f>'All Ages Over Time'!P55</f>
        <v>-7796.9104354971205</v>
      </c>
      <c r="Q58" s="50">
        <f>'All Ages Over Time'!Q55</f>
        <v>-6515.5561889250821</v>
      </c>
      <c r="R58" s="50">
        <f>'All Ages Over Time'!R55</f>
        <v>-9343.1837060702819</v>
      </c>
      <c r="S58" s="50">
        <f>'All Ages Over Time'!S55</f>
        <v>-4874.3191153238586</v>
      </c>
      <c r="T58" s="50">
        <f>'All Ages Over Time'!T55</f>
        <v>-5404.2889408099727</v>
      </c>
      <c r="U58" s="50">
        <f>'All Ages Over Time'!U55</f>
        <v>-6400.8611963190197</v>
      </c>
      <c r="V58" s="50">
        <f>'All Ages Over Time'!V55</f>
        <v>-8616.9467766116868</v>
      </c>
      <c r="W58" s="50">
        <f>'All Ages Over Time'!W55</f>
        <v>-8596.6044117646961</v>
      </c>
      <c r="X58" s="50">
        <f>'All Ages Over Time'!X55</f>
        <v>2919.5372262773744</v>
      </c>
      <c r="Y58" s="50">
        <f>'All Ages Over Time'!Y55</f>
        <v>-4318.0310734463274</v>
      </c>
      <c r="Z58" s="50">
        <f>'All Ages Over Time'!Z55</f>
        <v>-11091.550925925927</v>
      </c>
      <c r="AA58" s="50">
        <f>'All Ages Over Time'!AA55</f>
        <v>-12268</v>
      </c>
    </row>
    <row r="59" spans="2:27" x14ac:dyDescent="0.25">
      <c r="B59" s="3">
        <v>4</v>
      </c>
      <c r="C59" s="50">
        <f>'All Ages Over Time'!C61</f>
        <v>744.06889128095645</v>
      </c>
      <c r="D59" s="50">
        <f>'All Ages Over Time'!D61</f>
        <v>-1547.9454926624749</v>
      </c>
      <c r="E59" s="50">
        <f>'All Ages Over Time'!E61</f>
        <v>-795.138036809818</v>
      </c>
      <c r="F59" s="50">
        <f>'All Ages Over Time'!F61</f>
        <v>406.88899999999558</v>
      </c>
      <c r="G59" s="50">
        <f>'All Ages Over Time'!G61</f>
        <v>-4503.6352140077943</v>
      </c>
      <c r="H59" s="50">
        <f>'All Ages Over Time'!H61</f>
        <v>-624.19866284623276</v>
      </c>
      <c r="I59" s="50">
        <f>'All Ages Over Time'!I61</f>
        <v>-2733.8336448598129</v>
      </c>
      <c r="J59" s="50">
        <f>'All Ages Over Time'!J61</f>
        <v>-2305.3813015582127</v>
      </c>
      <c r="K59" s="50">
        <f>'All Ages Over Time'!K61</f>
        <v>-2672.8134529147937</v>
      </c>
      <c r="L59" s="50">
        <f>'All Ages Over Time'!L61</f>
        <v>-994.09465381245536</v>
      </c>
      <c r="M59" s="50">
        <f>'All Ages Over Time'!M61</f>
        <v>1565.5069930069876</v>
      </c>
      <c r="N59" s="50">
        <f>'All Ages Over Time'!N61</f>
        <v>2788.6935622317687</v>
      </c>
      <c r="O59" s="50">
        <f>'All Ages Over Time'!O61</f>
        <v>1720.3694745621324</v>
      </c>
      <c r="P59" s="50">
        <f>'All Ages Over Time'!P61</f>
        <v>3857.1470829909522</v>
      </c>
      <c r="Q59" s="50">
        <f>'All Ages Over Time'!Q61</f>
        <v>3275.048859934861</v>
      </c>
      <c r="R59" s="50">
        <f>'All Ages Over Time'!R61</f>
        <v>4168.420127795529</v>
      </c>
      <c r="S59" s="50">
        <f>'All Ages Over Time'!S61</f>
        <v>3509.3112164297054</v>
      </c>
      <c r="T59" s="50">
        <f>'All Ages Over Time'!T61</f>
        <v>945.78115264797816</v>
      </c>
      <c r="U59" s="50">
        <f>'All Ages Over Time'!U61</f>
        <v>1934.8358895705605</v>
      </c>
      <c r="V59" s="50">
        <f>'All Ages Over Time'!V61</f>
        <v>2046.7751124437782</v>
      </c>
      <c r="W59" s="50">
        <f>'All Ages Over Time'!W61</f>
        <v>4235.9242647058854</v>
      </c>
      <c r="X59" s="50">
        <f>'All Ages Over Time'!X61</f>
        <v>19350.821167883216</v>
      </c>
      <c r="Y59" s="50">
        <f>'All Ages Over Time'!Y61</f>
        <v>17756.959745762724</v>
      </c>
      <c r="Z59" s="50">
        <f>'All Ages Over Time'!Z61</f>
        <v>11318.057539682544</v>
      </c>
      <c r="AA59" s="50">
        <f>'All Ages Over Time'!AA61</f>
        <v>11147</v>
      </c>
    </row>
    <row r="60" spans="2:27" x14ac:dyDescent="0.25">
      <c r="B60" s="3">
        <v>5</v>
      </c>
      <c r="C60" s="50">
        <f>'All Ages Over Time'!C67</f>
        <v>29253.744886975226</v>
      </c>
      <c r="D60" s="50">
        <f>'All Ages Over Time'!D67</f>
        <v>33305.5293501048</v>
      </c>
      <c r="E60" s="50">
        <f>'All Ages Over Time'!E67</f>
        <v>34176.478527607367</v>
      </c>
      <c r="F60" s="50">
        <f>'All Ages Over Time'!F67</f>
        <v>32758.491999999998</v>
      </c>
      <c r="G60" s="50">
        <f>'All Ages Over Time'!G67</f>
        <v>32676.188715953293</v>
      </c>
      <c r="H60" s="50">
        <f>'All Ages Over Time'!H67</f>
        <v>33534.172874880605</v>
      </c>
      <c r="I60" s="50">
        <f>'All Ages Over Time'!I67</f>
        <v>33868.998130841122</v>
      </c>
      <c r="J60" s="50">
        <f>'All Ages Over Time'!J67</f>
        <v>40634.325389550853</v>
      </c>
      <c r="K60" s="50">
        <f>'All Ages Over Time'!K67</f>
        <v>39879.447533632279</v>
      </c>
      <c r="L60" s="50">
        <f>'All Ages Over Time'!L67</f>
        <v>43382.180543383001</v>
      </c>
      <c r="M60" s="50">
        <f>'All Ages Over Time'!M67</f>
        <v>45067.375874125893</v>
      </c>
      <c r="N60" s="50">
        <f>'All Ages Over Time'!N67</f>
        <v>42932.126180257532</v>
      </c>
      <c r="O60" s="50">
        <f>'All Ages Over Time'!O67</f>
        <v>42770.769808173471</v>
      </c>
      <c r="P60" s="50">
        <f>'All Ages Over Time'!P67</f>
        <v>43241.871815940831</v>
      </c>
      <c r="Q60" s="50">
        <f>'All Ages Over Time'!Q67</f>
        <v>47489.487785016303</v>
      </c>
      <c r="R60" s="50">
        <f>'All Ages Over Time'!R67</f>
        <v>45306.786741214048</v>
      </c>
      <c r="S60" s="50">
        <f>'All Ages Over Time'!S67</f>
        <v>48125.214849921031</v>
      </c>
      <c r="T60" s="50">
        <f>'All Ages Over Time'!T67</f>
        <v>37055.534267912764</v>
      </c>
      <c r="U60" s="50">
        <f>'All Ages Over Time'!U67</f>
        <v>40032.790644171764</v>
      </c>
      <c r="V60" s="50">
        <f>'All Ages Over Time'!V67</f>
        <v>38984.117691154417</v>
      </c>
      <c r="W60" s="50">
        <f>'All Ages Over Time'!W67</f>
        <v>47595.524264705862</v>
      </c>
      <c r="X60" s="50">
        <f>'All Ages Over Time'!X67</f>
        <v>57146.558394160587</v>
      </c>
      <c r="Y60" s="50">
        <f>'All Ages Over Time'!Y67</f>
        <v>59733.502824858762</v>
      </c>
      <c r="Z60" s="50">
        <f>'All Ages Over Time'!Z67</f>
        <v>56161.171957671962</v>
      </c>
      <c r="AA60" s="50">
        <f>'All Ages Over Time'!AA67</f>
        <v>60652</v>
      </c>
    </row>
  </sheetData>
  <conditionalFormatting sqref="C33:H38">
    <cfRule type="cellIs" dxfId="3" priority="3" operator="lessThan">
      <formula>0</formula>
    </cfRule>
    <cfRule type="cellIs" dxfId="2" priority="4" operator="greaterThan">
      <formula>0</formula>
    </cfRule>
  </conditionalFormatting>
  <conditionalFormatting sqref="C47:H52">
    <cfRule type="cellIs" dxfId="1" priority="1" operator="lessThan">
      <formula>0</formula>
    </cfRule>
    <cfRule type="cellIs" dxfId="0" priority="2"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1"/>
  <sheetViews>
    <sheetView view="pageBreakPreview" zoomScale="60" zoomScaleNormal="100" workbookViewId="0"/>
  </sheetViews>
  <sheetFormatPr defaultRowHeight="15" x14ac:dyDescent="0.25"/>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53"/>
  <sheetViews>
    <sheetView zoomScaleNormal="100" workbookViewId="0">
      <selection activeCell="Q23" sqref="Q23"/>
    </sheetView>
  </sheetViews>
  <sheetFormatPr defaultRowHeight="15" x14ac:dyDescent="0.25"/>
  <sheetData>
    <row r="1" spans="1:37" x14ac:dyDescent="0.25">
      <c r="A1" t="s">
        <v>116</v>
      </c>
    </row>
    <row r="2" spans="1:37" x14ac:dyDescent="0.25">
      <c r="A2" t="s">
        <v>1</v>
      </c>
    </row>
    <row r="3" spans="1:37" x14ac:dyDescent="0.25">
      <c r="A3" t="s">
        <v>2</v>
      </c>
    </row>
    <row r="4" spans="1:37" x14ac:dyDescent="0.25">
      <c r="A4" t="s">
        <v>3</v>
      </c>
    </row>
    <row r="5" spans="1:37" x14ac:dyDescent="0.25">
      <c r="A5" t="s">
        <v>4</v>
      </c>
    </row>
    <row r="6" spans="1:37" x14ac:dyDescent="0.25">
      <c r="A6" s="6" t="s">
        <v>123</v>
      </c>
    </row>
    <row r="9" spans="1:37" x14ac:dyDescent="0.25">
      <c r="A9" t="s">
        <v>5</v>
      </c>
      <c r="B9" t="s">
        <v>6</v>
      </c>
    </row>
    <row r="10" spans="1:37" x14ac:dyDescent="0.25">
      <c r="A10" t="s">
        <v>7</v>
      </c>
      <c r="B10" t="s">
        <v>117</v>
      </c>
    </row>
    <row r="11" spans="1:37" x14ac:dyDescent="0.25">
      <c r="A11" s="4" t="s">
        <v>51</v>
      </c>
      <c r="B11" s="35" t="s">
        <v>97</v>
      </c>
      <c r="C11" s="35">
        <v>1</v>
      </c>
      <c r="D11" s="35">
        <v>2</v>
      </c>
      <c r="E11" s="35">
        <v>3</v>
      </c>
      <c r="F11" s="35">
        <v>4</v>
      </c>
      <c r="G11" s="35">
        <v>5</v>
      </c>
      <c r="H11" s="35" t="s">
        <v>97</v>
      </c>
      <c r="I11" s="35" t="s">
        <v>97</v>
      </c>
      <c r="J11" s="35" t="s">
        <v>97</v>
      </c>
      <c r="K11" s="35" t="s">
        <v>97</v>
      </c>
      <c r="L11" s="35" t="s">
        <v>97</v>
      </c>
      <c r="M11" s="35">
        <v>1</v>
      </c>
      <c r="N11" s="35">
        <v>1</v>
      </c>
      <c r="O11" s="35">
        <v>1</v>
      </c>
      <c r="P11" s="35">
        <v>1</v>
      </c>
      <c r="Q11" s="35">
        <v>1</v>
      </c>
      <c r="R11" s="35">
        <v>2</v>
      </c>
      <c r="S11" s="35">
        <v>2</v>
      </c>
      <c r="T11" s="35">
        <v>2</v>
      </c>
      <c r="U11" s="35">
        <v>2</v>
      </c>
      <c r="V11" s="35">
        <v>2</v>
      </c>
      <c r="W11" s="35">
        <v>3</v>
      </c>
      <c r="X11" s="35">
        <v>3</v>
      </c>
      <c r="Y11" s="35">
        <v>3</v>
      </c>
      <c r="Z11" s="35">
        <v>3</v>
      </c>
      <c r="AA11" s="35">
        <v>3</v>
      </c>
      <c r="AB11" s="35">
        <v>4</v>
      </c>
      <c r="AC11" s="35">
        <v>4</v>
      </c>
      <c r="AD11" s="35">
        <v>4</v>
      </c>
      <c r="AE11" s="35">
        <v>4</v>
      </c>
      <c r="AF11" s="35">
        <v>4</v>
      </c>
      <c r="AG11" s="35">
        <v>5</v>
      </c>
      <c r="AH11" s="35">
        <v>5</v>
      </c>
      <c r="AI11" s="35">
        <v>5</v>
      </c>
      <c r="AJ11" s="35">
        <v>5</v>
      </c>
      <c r="AK11" s="35">
        <v>5</v>
      </c>
    </row>
    <row r="12" spans="1:37" x14ac:dyDescent="0.25">
      <c r="A12" s="4" t="s">
        <v>96</v>
      </c>
      <c r="B12" s="35" t="s">
        <v>97</v>
      </c>
      <c r="C12" s="35" t="s">
        <v>97</v>
      </c>
      <c r="D12" s="35" t="s">
        <v>97</v>
      </c>
      <c r="E12" s="35" t="s">
        <v>97</v>
      </c>
      <c r="F12" s="35" t="s">
        <v>97</v>
      </c>
      <c r="G12" s="35" t="s">
        <v>97</v>
      </c>
      <c r="H12" s="35" t="s">
        <v>98</v>
      </c>
      <c r="I12" s="35" t="s">
        <v>99</v>
      </c>
      <c r="J12" s="35" t="s">
        <v>100</v>
      </c>
      <c r="K12" s="35" t="s">
        <v>101</v>
      </c>
      <c r="L12" s="35" t="s">
        <v>102</v>
      </c>
      <c r="M12" s="35" t="s">
        <v>98</v>
      </c>
      <c r="N12" s="35" t="s">
        <v>99</v>
      </c>
      <c r="O12" s="35" t="s">
        <v>100</v>
      </c>
      <c r="P12" s="35" t="s">
        <v>101</v>
      </c>
      <c r="Q12" s="35" t="s">
        <v>102</v>
      </c>
      <c r="R12" s="35" t="s">
        <v>98</v>
      </c>
      <c r="S12" s="35" t="s">
        <v>99</v>
      </c>
      <c r="T12" s="35" t="s">
        <v>100</v>
      </c>
      <c r="U12" s="35" t="s">
        <v>101</v>
      </c>
      <c r="V12" s="35" t="s">
        <v>102</v>
      </c>
      <c r="W12" s="35" t="s">
        <v>98</v>
      </c>
      <c r="X12" s="35" t="s">
        <v>99</v>
      </c>
      <c r="Y12" s="35" t="s">
        <v>100</v>
      </c>
      <c r="Z12" s="35" t="s">
        <v>101</v>
      </c>
      <c r="AA12" s="35" t="s">
        <v>102</v>
      </c>
      <c r="AB12" s="35" t="s">
        <v>98</v>
      </c>
      <c r="AC12" s="35" t="s">
        <v>99</v>
      </c>
      <c r="AD12" s="35" t="s">
        <v>100</v>
      </c>
      <c r="AE12" s="35" t="s">
        <v>101</v>
      </c>
      <c r="AF12" s="35" t="s">
        <v>102</v>
      </c>
      <c r="AG12" s="35" t="s">
        <v>98</v>
      </c>
      <c r="AH12" s="35" t="s">
        <v>99</v>
      </c>
      <c r="AI12" s="35" t="s">
        <v>100</v>
      </c>
      <c r="AJ12" s="35" t="s">
        <v>101</v>
      </c>
      <c r="AK12" s="35" t="s">
        <v>102</v>
      </c>
    </row>
    <row r="13" spans="1:37" x14ac:dyDescent="0.25">
      <c r="A13" t="s">
        <v>9</v>
      </c>
      <c r="B13" t="s">
        <v>10</v>
      </c>
      <c r="C13" t="s">
        <v>11</v>
      </c>
      <c r="D13" t="s">
        <v>12</v>
      </c>
      <c r="E13" t="s">
        <v>13</v>
      </c>
      <c r="F13" t="s">
        <v>14</v>
      </c>
      <c r="G13" t="s">
        <v>15</v>
      </c>
      <c r="H13" t="s">
        <v>118</v>
      </c>
      <c r="I13" t="s">
        <v>119</v>
      </c>
      <c r="J13" t="s">
        <v>120</v>
      </c>
      <c r="K13" t="s">
        <v>121</v>
      </c>
      <c r="L13" t="s">
        <v>122</v>
      </c>
      <c r="M13" t="s">
        <v>67</v>
      </c>
      <c r="N13" t="s">
        <v>68</v>
      </c>
      <c r="O13" t="s">
        <v>69</v>
      </c>
      <c r="P13" t="s">
        <v>70</v>
      </c>
      <c r="Q13" t="s">
        <v>71</v>
      </c>
      <c r="R13" t="s">
        <v>72</v>
      </c>
      <c r="S13" t="s">
        <v>73</v>
      </c>
      <c r="T13" t="s">
        <v>74</v>
      </c>
      <c r="U13" t="s">
        <v>75</v>
      </c>
      <c r="V13" t="s">
        <v>76</v>
      </c>
      <c r="W13" t="s">
        <v>77</v>
      </c>
      <c r="X13" t="s">
        <v>78</v>
      </c>
      <c r="Y13" t="s">
        <v>79</v>
      </c>
      <c r="Z13" t="s">
        <v>80</v>
      </c>
      <c r="AA13" t="s">
        <v>81</v>
      </c>
      <c r="AB13" t="s">
        <v>82</v>
      </c>
      <c r="AC13" t="s">
        <v>83</v>
      </c>
      <c r="AD13" t="s">
        <v>84</v>
      </c>
      <c r="AE13" t="s">
        <v>85</v>
      </c>
      <c r="AF13" t="s">
        <v>86</v>
      </c>
      <c r="AG13" t="s">
        <v>87</v>
      </c>
      <c r="AH13" t="s">
        <v>88</v>
      </c>
      <c r="AI13" t="s">
        <v>89</v>
      </c>
      <c r="AJ13" t="s">
        <v>90</v>
      </c>
      <c r="AK13" t="s">
        <v>91</v>
      </c>
    </row>
    <row r="14" spans="1:37" x14ac:dyDescent="0.25">
      <c r="A14" t="s">
        <v>16</v>
      </c>
      <c r="B14">
        <v>2023</v>
      </c>
      <c r="C14">
        <v>2023</v>
      </c>
      <c r="D14">
        <v>2023</v>
      </c>
      <c r="E14">
        <v>2023</v>
      </c>
      <c r="F14">
        <v>2023</v>
      </c>
      <c r="G14">
        <v>2023</v>
      </c>
      <c r="H14">
        <v>2023</v>
      </c>
      <c r="I14">
        <v>2023</v>
      </c>
      <c r="J14">
        <v>2023</v>
      </c>
      <c r="K14">
        <v>2023</v>
      </c>
      <c r="L14">
        <v>2023</v>
      </c>
      <c r="M14">
        <v>2023</v>
      </c>
      <c r="N14">
        <v>2023</v>
      </c>
      <c r="O14">
        <v>2023</v>
      </c>
      <c r="P14">
        <v>2023</v>
      </c>
      <c r="Q14">
        <v>2023</v>
      </c>
      <c r="R14">
        <v>2023</v>
      </c>
      <c r="S14">
        <v>2023</v>
      </c>
      <c r="T14">
        <v>2023</v>
      </c>
      <c r="U14">
        <v>2023</v>
      </c>
      <c r="V14">
        <v>2023</v>
      </c>
      <c r="W14">
        <v>2023</v>
      </c>
      <c r="X14">
        <v>2023</v>
      </c>
      <c r="Y14">
        <v>2023</v>
      </c>
      <c r="Z14">
        <v>2023</v>
      </c>
      <c r="AA14">
        <v>2023</v>
      </c>
      <c r="AB14">
        <v>2023</v>
      </c>
      <c r="AC14">
        <v>2023</v>
      </c>
      <c r="AD14">
        <v>2023</v>
      </c>
      <c r="AE14">
        <v>2023</v>
      </c>
      <c r="AF14">
        <v>2023</v>
      </c>
      <c r="AG14">
        <v>2023</v>
      </c>
      <c r="AH14">
        <v>2023</v>
      </c>
      <c r="AI14">
        <v>2023</v>
      </c>
      <c r="AJ14">
        <v>2023</v>
      </c>
      <c r="AK14">
        <v>2023</v>
      </c>
    </row>
    <row r="15" spans="1:37" x14ac:dyDescent="0.25">
      <c r="B15" t="s">
        <v>17</v>
      </c>
    </row>
    <row r="16" spans="1:37" x14ac:dyDescent="0.25">
      <c r="A16" t="s">
        <v>18</v>
      </c>
      <c r="B16" s="1">
        <v>96406</v>
      </c>
      <c r="C16" s="1">
        <v>31604</v>
      </c>
      <c r="D16" s="1">
        <v>59447</v>
      </c>
      <c r="E16" s="1">
        <v>78998</v>
      </c>
      <c r="F16" s="1">
        <v>114315</v>
      </c>
      <c r="G16" s="1">
        <v>197667</v>
      </c>
      <c r="H16" s="1">
        <v>97767</v>
      </c>
      <c r="I16" s="1">
        <v>112274</v>
      </c>
      <c r="J16" s="1">
        <v>130133</v>
      </c>
      <c r="K16" s="1">
        <v>101450</v>
      </c>
      <c r="L16" s="1">
        <v>65738</v>
      </c>
      <c r="M16" s="1">
        <v>32144</v>
      </c>
      <c r="N16" s="1">
        <v>39230</v>
      </c>
      <c r="O16" s="1">
        <v>39715</v>
      </c>
      <c r="P16" s="1">
        <v>24610</v>
      </c>
      <c r="Q16" s="1">
        <v>28735</v>
      </c>
      <c r="R16" s="1">
        <v>75128</v>
      </c>
      <c r="S16" s="1">
        <v>79366</v>
      </c>
      <c r="T16" s="1">
        <v>62668</v>
      </c>
      <c r="U16" s="1">
        <v>55594</v>
      </c>
      <c r="V16" s="1">
        <v>44502</v>
      </c>
      <c r="W16" s="1">
        <v>89104</v>
      </c>
      <c r="X16" s="1">
        <v>93589</v>
      </c>
      <c r="Y16" s="1">
        <v>98250</v>
      </c>
      <c r="Z16" s="1">
        <v>70228</v>
      </c>
      <c r="AA16" s="1">
        <v>58049</v>
      </c>
      <c r="AB16" s="1">
        <v>119463</v>
      </c>
      <c r="AC16" s="1">
        <v>137538</v>
      </c>
      <c r="AD16" s="1">
        <v>135803</v>
      </c>
      <c r="AE16" s="1">
        <v>106872</v>
      </c>
      <c r="AF16" s="1">
        <v>79024</v>
      </c>
      <c r="AG16" s="1">
        <v>182418</v>
      </c>
      <c r="AH16" s="1">
        <v>187629</v>
      </c>
      <c r="AI16" s="1">
        <v>262002</v>
      </c>
      <c r="AJ16" s="1">
        <v>193320</v>
      </c>
      <c r="AK16" s="1">
        <v>167492</v>
      </c>
    </row>
    <row r="17" spans="1:37" x14ac:dyDescent="0.25">
      <c r="A17" t="s">
        <v>19</v>
      </c>
      <c r="B17" s="1">
        <v>88732</v>
      </c>
      <c r="C17" s="1">
        <v>13234</v>
      </c>
      <c r="D17" s="1">
        <v>37027</v>
      </c>
      <c r="E17" s="1">
        <v>69679</v>
      </c>
      <c r="F17" s="1">
        <v>120934</v>
      </c>
      <c r="G17" s="1">
        <v>202784</v>
      </c>
      <c r="H17" s="1">
        <v>111139</v>
      </c>
      <c r="I17" s="1">
        <v>127981</v>
      </c>
      <c r="J17" s="1">
        <v>149979</v>
      </c>
      <c r="K17" s="1">
        <v>102771</v>
      </c>
      <c r="L17" s="1">
        <v>12243</v>
      </c>
      <c r="M17" t="s">
        <v>92</v>
      </c>
      <c r="N17" t="s">
        <v>92</v>
      </c>
      <c r="O17" t="s">
        <v>92</v>
      </c>
      <c r="P17" t="s">
        <v>92</v>
      </c>
      <c r="Q17" t="s">
        <v>92</v>
      </c>
      <c r="R17" t="s">
        <v>92</v>
      </c>
      <c r="S17" t="s">
        <v>92</v>
      </c>
      <c r="T17" t="s">
        <v>92</v>
      </c>
      <c r="U17" t="s">
        <v>92</v>
      </c>
      <c r="V17" t="s">
        <v>92</v>
      </c>
      <c r="W17" t="s">
        <v>92</v>
      </c>
      <c r="X17" t="s">
        <v>92</v>
      </c>
      <c r="Y17" t="s">
        <v>92</v>
      </c>
      <c r="Z17" t="s">
        <v>92</v>
      </c>
      <c r="AA17" t="s">
        <v>92</v>
      </c>
      <c r="AB17" t="s">
        <v>92</v>
      </c>
      <c r="AC17" t="s">
        <v>92</v>
      </c>
      <c r="AD17" t="s">
        <v>92</v>
      </c>
      <c r="AE17" t="s">
        <v>92</v>
      </c>
      <c r="AF17" t="s">
        <v>92</v>
      </c>
      <c r="AG17" t="s">
        <v>92</v>
      </c>
      <c r="AH17" t="s">
        <v>92</v>
      </c>
      <c r="AI17" t="s">
        <v>92</v>
      </c>
      <c r="AJ17" t="s">
        <v>92</v>
      </c>
      <c r="AK17" t="s">
        <v>92</v>
      </c>
    </row>
    <row r="18" spans="1:37" x14ac:dyDescent="0.25">
      <c r="A18" t="s">
        <v>20</v>
      </c>
      <c r="B18" s="1">
        <v>15541</v>
      </c>
      <c r="C18" s="1">
        <v>5471</v>
      </c>
      <c r="D18" s="1">
        <v>10806</v>
      </c>
      <c r="E18" s="1">
        <v>13610</v>
      </c>
      <c r="F18" s="1">
        <v>17590</v>
      </c>
      <c r="G18" s="1">
        <v>30226</v>
      </c>
      <c r="H18" s="1">
        <v>13266</v>
      </c>
      <c r="I18" s="1">
        <v>17759</v>
      </c>
      <c r="J18" s="1">
        <v>20355</v>
      </c>
      <c r="K18" s="1">
        <v>18286</v>
      </c>
      <c r="L18" s="1">
        <v>11499</v>
      </c>
      <c r="M18" t="s">
        <v>92</v>
      </c>
      <c r="N18" t="s">
        <v>92</v>
      </c>
      <c r="O18" t="s">
        <v>92</v>
      </c>
      <c r="P18" t="s">
        <v>92</v>
      </c>
      <c r="Q18" t="s">
        <v>92</v>
      </c>
      <c r="R18" t="s">
        <v>92</v>
      </c>
      <c r="S18" t="s">
        <v>92</v>
      </c>
      <c r="T18" t="s">
        <v>92</v>
      </c>
      <c r="U18" t="s">
        <v>92</v>
      </c>
      <c r="V18" t="s">
        <v>92</v>
      </c>
      <c r="W18" t="s">
        <v>92</v>
      </c>
      <c r="X18" t="s">
        <v>92</v>
      </c>
      <c r="Y18" t="s">
        <v>92</v>
      </c>
      <c r="Z18" t="s">
        <v>92</v>
      </c>
      <c r="AA18" t="s">
        <v>92</v>
      </c>
      <c r="AB18" t="s">
        <v>92</v>
      </c>
      <c r="AC18" t="s">
        <v>92</v>
      </c>
      <c r="AD18" t="s">
        <v>92</v>
      </c>
      <c r="AE18" t="s">
        <v>92</v>
      </c>
      <c r="AF18" t="s">
        <v>92</v>
      </c>
      <c r="AG18" t="s">
        <v>92</v>
      </c>
      <c r="AH18" t="s">
        <v>92</v>
      </c>
      <c r="AI18" t="s">
        <v>92</v>
      </c>
      <c r="AJ18" t="s">
        <v>92</v>
      </c>
      <c r="AK18" t="s">
        <v>92</v>
      </c>
    </row>
    <row r="19" spans="1:37" x14ac:dyDescent="0.25">
      <c r="A19" t="s">
        <v>21</v>
      </c>
      <c r="B19" s="1">
        <v>17739</v>
      </c>
      <c r="C19" s="1">
        <v>3079</v>
      </c>
      <c r="D19" s="1">
        <v>4987</v>
      </c>
      <c r="E19" s="1">
        <v>8699</v>
      </c>
      <c r="F19" s="1">
        <v>14699</v>
      </c>
      <c r="G19" s="1">
        <v>57231</v>
      </c>
      <c r="H19" s="1">
        <v>7529</v>
      </c>
      <c r="I19" s="1">
        <v>13126</v>
      </c>
      <c r="J19" s="1">
        <v>19391</v>
      </c>
      <c r="K19" s="1">
        <v>21184</v>
      </c>
      <c r="L19" s="1">
        <v>23740</v>
      </c>
      <c r="M19" t="s">
        <v>92</v>
      </c>
      <c r="N19" t="s">
        <v>92</v>
      </c>
      <c r="O19" t="s">
        <v>92</v>
      </c>
      <c r="P19" t="s">
        <v>92</v>
      </c>
      <c r="Q19" t="s">
        <v>92</v>
      </c>
      <c r="R19" t="s">
        <v>92</v>
      </c>
      <c r="S19" t="s">
        <v>92</v>
      </c>
      <c r="T19" t="s">
        <v>92</v>
      </c>
      <c r="U19" t="s">
        <v>92</v>
      </c>
      <c r="V19" t="s">
        <v>92</v>
      </c>
      <c r="W19" t="s">
        <v>92</v>
      </c>
      <c r="X19" t="s">
        <v>92</v>
      </c>
      <c r="Y19" t="s">
        <v>92</v>
      </c>
      <c r="Z19" t="s">
        <v>92</v>
      </c>
      <c r="AA19" t="s">
        <v>92</v>
      </c>
      <c r="AB19" t="s">
        <v>92</v>
      </c>
      <c r="AC19" t="s">
        <v>92</v>
      </c>
      <c r="AD19" t="s">
        <v>92</v>
      </c>
      <c r="AE19" t="s">
        <v>92</v>
      </c>
      <c r="AF19" t="s">
        <v>92</v>
      </c>
      <c r="AG19" t="s">
        <v>92</v>
      </c>
      <c r="AH19" t="s">
        <v>92</v>
      </c>
      <c r="AI19" t="s">
        <v>92</v>
      </c>
      <c r="AJ19" t="s">
        <v>92</v>
      </c>
      <c r="AK19" t="s">
        <v>92</v>
      </c>
    </row>
    <row r="20" spans="1:37" x14ac:dyDescent="0.25">
      <c r="A20" t="s">
        <v>22</v>
      </c>
      <c r="B20" s="1">
        <v>8011</v>
      </c>
      <c r="C20" s="1">
        <v>5956</v>
      </c>
      <c r="D20" s="1">
        <v>6289</v>
      </c>
      <c r="E20" s="1">
        <v>7470</v>
      </c>
      <c r="F20" s="1">
        <v>9329</v>
      </c>
      <c r="G20" s="1">
        <v>11009</v>
      </c>
      <c r="H20" s="1">
        <v>9109</v>
      </c>
      <c r="I20" s="1">
        <v>12122</v>
      </c>
      <c r="J20" s="1">
        <v>11404</v>
      </c>
      <c r="K20" s="1">
        <v>7426</v>
      </c>
      <c r="L20" s="1">
        <v>3494</v>
      </c>
      <c r="M20" t="s">
        <v>92</v>
      </c>
      <c r="N20" t="s">
        <v>92</v>
      </c>
      <c r="O20" t="s">
        <v>92</v>
      </c>
      <c r="P20" t="s">
        <v>92</v>
      </c>
      <c r="Q20" t="s">
        <v>92</v>
      </c>
      <c r="R20" t="s">
        <v>92</v>
      </c>
      <c r="S20" t="s">
        <v>92</v>
      </c>
      <c r="T20" t="s">
        <v>92</v>
      </c>
      <c r="U20" t="s">
        <v>92</v>
      </c>
      <c r="V20" t="s">
        <v>92</v>
      </c>
      <c r="W20" t="s">
        <v>92</v>
      </c>
      <c r="X20" t="s">
        <v>92</v>
      </c>
      <c r="Y20" t="s">
        <v>92</v>
      </c>
      <c r="Z20" t="s">
        <v>92</v>
      </c>
      <c r="AA20" t="s">
        <v>92</v>
      </c>
      <c r="AB20" t="s">
        <v>92</v>
      </c>
      <c r="AC20" t="s">
        <v>92</v>
      </c>
      <c r="AD20" t="s">
        <v>92</v>
      </c>
      <c r="AE20" t="s">
        <v>92</v>
      </c>
      <c r="AF20" t="s">
        <v>92</v>
      </c>
      <c r="AG20" t="s">
        <v>92</v>
      </c>
      <c r="AH20" t="s">
        <v>92</v>
      </c>
      <c r="AI20" t="s">
        <v>92</v>
      </c>
      <c r="AJ20" t="s">
        <v>92</v>
      </c>
      <c r="AK20" t="s">
        <v>92</v>
      </c>
    </row>
    <row r="21" spans="1:37" x14ac:dyDescent="0.25">
      <c r="A21" t="s">
        <v>23</v>
      </c>
      <c r="B21" s="1">
        <v>26656</v>
      </c>
      <c r="C21" s="1">
        <v>26107</v>
      </c>
      <c r="D21" s="1">
        <v>30786</v>
      </c>
      <c r="E21" s="1">
        <v>28248</v>
      </c>
      <c r="F21" s="1">
        <v>24546</v>
      </c>
      <c r="G21" s="1">
        <v>23596</v>
      </c>
      <c r="H21" s="1">
        <v>15296</v>
      </c>
      <c r="I21" s="1">
        <v>18880</v>
      </c>
      <c r="J21" s="1">
        <v>15711</v>
      </c>
      <c r="K21" s="1">
        <v>22042</v>
      </c>
      <c r="L21" s="1">
        <v>46399</v>
      </c>
      <c r="M21" t="s">
        <v>92</v>
      </c>
      <c r="N21" t="s">
        <v>92</v>
      </c>
      <c r="O21" t="s">
        <v>92</v>
      </c>
      <c r="P21" t="s">
        <v>92</v>
      </c>
      <c r="Q21" t="s">
        <v>92</v>
      </c>
      <c r="R21" t="s">
        <v>92</v>
      </c>
      <c r="S21" t="s">
        <v>92</v>
      </c>
      <c r="T21" t="s">
        <v>92</v>
      </c>
      <c r="U21" t="s">
        <v>92</v>
      </c>
      <c r="V21" t="s">
        <v>92</v>
      </c>
      <c r="W21" t="s">
        <v>92</v>
      </c>
      <c r="X21" t="s">
        <v>92</v>
      </c>
      <c r="Y21" t="s">
        <v>92</v>
      </c>
      <c r="Z21" t="s">
        <v>92</v>
      </c>
      <c r="AA21" t="s">
        <v>92</v>
      </c>
      <c r="AB21" t="s">
        <v>92</v>
      </c>
      <c r="AC21" t="s">
        <v>92</v>
      </c>
      <c r="AD21" t="s">
        <v>92</v>
      </c>
      <c r="AE21" t="s">
        <v>92</v>
      </c>
      <c r="AF21" t="s">
        <v>92</v>
      </c>
      <c r="AG21" t="s">
        <v>92</v>
      </c>
      <c r="AH21" t="s">
        <v>92</v>
      </c>
      <c r="AI21" t="s">
        <v>92</v>
      </c>
      <c r="AJ21" t="s">
        <v>92</v>
      </c>
      <c r="AK21" t="s">
        <v>92</v>
      </c>
    </row>
    <row r="22" spans="1:37" x14ac:dyDescent="0.25">
      <c r="A22" t="s">
        <v>24</v>
      </c>
      <c r="B22" s="1">
        <v>44251</v>
      </c>
      <c r="C22" s="1">
        <v>10330</v>
      </c>
      <c r="D22" s="1">
        <v>17871</v>
      </c>
      <c r="E22" s="1">
        <v>33768</v>
      </c>
      <c r="F22" s="1">
        <v>54126</v>
      </c>
      <c r="G22" s="1">
        <v>105162</v>
      </c>
      <c r="H22" s="1">
        <v>40354</v>
      </c>
      <c r="I22" s="1">
        <v>53350</v>
      </c>
      <c r="J22" s="1">
        <v>63900</v>
      </c>
      <c r="K22" s="1">
        <v>55407</v>
      </c>
      <c r="L22" s="1">
        <v>24649</v>
      </c>
      <c r="M22" t="s">
        <v>92</v>
      </c>
      <c r="N22" t="s">
        <v>92</v>
      </c>
      <c r="O22" t="s">
        <v>92</v>
      </c>
      <c r="P22" t="s">
        <v>92</v>
      </c>
      <c r="Q22" t="s">
        <v>92</v>
      </c>
      <c r="R22" t="s">
        <v>92</v>
      </c>
      <c r="S22" t="s">
        <v>92</v>
      </c>
      <c r="T22" t="s">
        <v>92</v>
      </c>
      <c r="U22" t="s">
        <v>92</v>
      </c>
      <c r="V22" t="s">
        <v>92</v>
      </c>
      <c r="W22" t="s">
        <v>92</v>
      </c>
      <c r="X22" t="s">
        <v>92</v>
      </c>
      <c r="Y22" t="s">
        <v>92</v>
      </c>
      <c r="Z22" t="s">
        <v>92</v>
      </c>
      <c r="AA22" t="s">
        <v>92</v>
      </c>
      <c r="AB22" t="s">
        <v>92</v>
      </c>
      <c r="AC22" t="s">
        <v>92</v>
      </c>
      <c r="AD22" t="s">
        <v>92</v>
      </c>
      <c r="AE22" t="s">
        <v>92</v>
      </c>
      <c r="AF22" t="s">
        <v>92</v>
      </c>
      <c r="AG22" t="s">
        <v>92</v>
      </c>
      <c r="AH22" t="s">
        <v>92</v>
      </c>
      <c r="AI22" t="s">
        <v>92</v>
      </c>
      <c r="AJ22" t="s">
        <v>92</v>
      </c>
      <c r="AK22" t="s">
        <v>92</v>
      </c>
    </row>
    <row r="23" spans="1:37" x14ac:dyDescent="0.25">
      <c r="A23" t="s">
        <v>25</v>
      </c>
      <c r="B23" s="1">
        <v>93707</v>
      </c>
      <c r="C23" s="1">
        <v>61968</v>
      </c>
      <c r="D23" s="1">
        <v>75118</v>
      </c>
      <c r="E23" s="1">
        <v>91266</v>
      </c>
      <c r="F23" s="1">
        <v>103168</v>
      </c>
      <c r="G23" s="1">
        <v>137015</v>
      </c>
      <c r="H23" s="1">
        <v>88914</v>
      </c>
      <c r="I23" s="1">
        <v>103075</v>
      </c>
      <c r="J23" s="1">
        <v>127283</v>
      </c>
      <c r="K23" s="1">
        <v>107382</v>
      </c>
      <c r="L23" s="1">
        <v>65742</v>
      </c>
      <c r="M23" s="1">
        <v>62761</v>
      </c>
      <c r="N23" s="1">
        <v>63254</v>
      </c>
      <c r="O23" s="1">
        <v>76767</v>
      </c>
      <c r="P23" s="1">
        <v>71238</v>
      </c>
      <c r="Q23" s="1">
        <v>52572</v>
      </c>
      <c r="R23" s="1">
        <v>81310</v>
      </c>
      <c r="S23" s="1">
        <v>97176</v>
      </c>
      <c r="T23" s="1">
        <v>86855</v>
      </c>
      <c r="U23" s="1">
        <v>84889</v>
      </c>
      <c r="V23" s="1">
        <v>55746</v>
      </c>
      <c r="W23" s="1">
        <v>88214</v>
      </c>
      <c r="X23" s="1">
        <v>99908</v>
      </c>
      <c r="Y23" s="1">
        <v>126342</v>
      </c>
      <c r="Z23" s="1">
        <v>93812</v>
      </c>
      <c r="AA23" s="1">
        <v>68078</v>
      </c>
      <c r="AB23" s="1">
        <v>88615</v>
      </c>
      <c r="AC23" s="1">
        <v>112438</v>
      </c>
      <c r="AD23" s="1">
        <v>135533</v>
      </c>
      <c r="AE23" s="1">
        <v>114766</v>
      </c>
      <c r="AF23" s="1">
        <v>72967</v>
      </c>
      <c r="AG23" s="1">
        <v>128919</v>
      </c>
      <c r="AH23" s="1">
        <v>131586</v>
      </c>
      <c r="AI23" s="1">
        <v>183861</v>
      </c>
      <c r="AJ23" s="1">
        <v>146632</v>
      </c>
      <c r="AK23" s="1">
        <v>96602</v>
      </c>
    </row>
    <row r="24" spans="1:37" x14ac:dyDescent="0.25">
      <c r="A24" t="s">
        <v>26</v>
      </c>
      <c r="B24" s="1">
        <v>8923</v>
      </c>
      <c r="C24" s="1">
        <v>6876</v>
      </c>
      <c r="D24" s="1">
        <v>8272</v>
      </c>
      <c r="E24" s="1">
        <v>9429</v>
      </c>
      <c r="F24" s="1">
        <v>10204</v>
      </c>
      <c r="G24" s="1">
        <v>9834</v>
      </c>
      <c r="H24" s="1">
        <v>8114</v>
      </c>
      <c r="I24" s="1">
        <v>10103</v>
      </c>
      <c r="J24" s="1">
        <v>12186</v>
      </c>
      <c r="K24" s="1">
        <v>9779</v>
      </c>
      <c r="L24" s="1">
        <v>6525</v>
      </c>
      <c r="M24" t="s">
        <v>92</v>
      </c>
      <c r="N24" t="s">
        <v>92</v>
      </c>
      <c r="O24" t="s">
        <v>92</v>
      </c>
      <c r="P24" t="s">
        <v>92</v>
      </c>
      <c r="Q24" t="s">
        <v>92</v>
      </c>
      <c r="R24" t="s">
        <v>92</v>
      </c>
      <c r="S24" t="s">
        <v>92</v>
      </c>
      <c r="T24" t="s">
        <v>92</v>
      </c>
      <c r="U24" t="s">
        <v>92</v>
      </c>
      <c r="V24" t="s">
        <v>92</v>
      </c>
      <c r="W24" t="s">
        <v>92</v>
      </c>
      <c r="X24" t="s">
        <v>92</v>
      </c>
      <c r="Y24" t="s">
        <v>92</v>
      </c>
      <c r="Z24" t="s">
        <v>92</v>
      </c>
      <c r="AA24" t="s">
        <v>92</v>
      </c>
      <c r="AB24" t="s">
        <v>92</v>
      </c>
      <c r="AC24" t="s">
        <v>92</v>
      </c>
      <c r="AD24" t="s">
        <v>92</v>
      </c>
      <c r="AE24" t="s">
        <v>92</v>
      </c>
      <c r="AF24" t="s">
        <v>92</v>
      </c>
      <c r="AG24" t="s">
        <v>92</v>
      </c>
      <c r="AH24" t="s">
        <v>92</v>
      </c>
      <c r="AI24" t="s">
        <v>92</v>
      </c>
      <c r="AJ24" t="s">
        <v>92</v>
      </c>
      <c r="AK24" t="s">
        <v>92</v>
      </c>
    </row>
    <row r="25" spans="1:37" x14ac:dyDescent="0.25">
      <c r="A25" t="s">
        <v>27</v>
      </c>
      <c r="B25" s="1">
        <v>3051</v>
      </c>
      <c r="C25" s="1">
        <v>2111</v>
      </c>
      <c r="D25" s="1">
        <v>2550</v>
      </c>
      <c r="E25" s="1">
        <v>3275</v>
      </c>
      <c r="F25" s="1">
        <v>3517</v>
      </c>
      <c r="G25" s="1">
        <v>3803</v>
      </c>
      <c r="H25" s="1">
        <v>3011</v>
      </c>
      <c r="I25" s="1">
        <v>3219</v>
      </c>
      <c r="J25" s="1">
        <v>4205</v>
      </c>
      <c r="K25" s="1">
        <v>3821</v>
      </c>
      <c r="L25" s="1">
        <v>1935</v>
      </c>
      <c r="M25" t="s">
        <v>92</v>
      </c>
      <c r="N25" t="s">
        <v>92</v>
      </c>
      <c r="O25" t="s">
        <v>92</v>
      </c>
      <c r="P25" t="s">
        <v>92</v>
      </c>
      <c r="Q25" t="s">
        <v>92</v>
      </c>
      <c r="R25" t="s">
        <v>92</v>
      </c>
      <c r="S25" t="s">
        <v>92</v>
      </c>
      <c r="T25" t="s">
        <v>92</v>
      </c>
      <c r="U25" t="s">
        <v>92</v>
      </c>
      <c r="V25" t="s">
        <v>92</v>
      </c>
      <c r="W25" t="s">
        <v>92</v>
      </c>
      <c r="X25" t="s">
        <v>92</v>
      </c>
      <c r="Y25" t="s">
        <v>92</v>
      </c>
      <c r="Z25" t="s">
        <v>92</v>
      </c>
      <c r="AA25" t="s">
        <v>92</v>
      </c>
      <c r="AB25" t="s">
        <v>92</v>
      </c>
      <c r="AC25" t="s">
        <v>92</v>
      </c>
      <c r="AD25" t="s">
        <v>92</v>
      </c>
      <c r="AE25" t="s">
        <v>92</v>
      </c>
      <c r="AF25" t="s">
        <v>92</v>
      </c>
      <c r="AG25" t="s">
        <v>92</v>
      </c>
      <c r="AH25" t="s">
        <v>92</v>
      </c>
      <c r="AI25" t="s">
        <v>92</v>
      </c>
      <c r="AJ25" t="s">
        <v>92</v>
      </c>
      <c r="AK25" t="s">
        <v>92</v>
      </c>
    </row>
    <row r="26" spans="1:37" x14ac:dyDescent="0.25">
      <c r="A26" t="s">
        <v>28</v>
      </c>
      <c r="B26" s="1">
        <v>4453</v>
      </c>
      <c r="C26" s="1">
        <v>3130</v>
      </c>
      <c r="D26" s="1">
        <v>3347</v>
      </c>
      <c r="E26" s="1">
        <v>4367</v>
      </c>
      <c r="F26" s="1">
        <v>4578</v>
      </c>
      <c r="G26" s="1">
        <v>6843</v>
      </c>
      <c r="H26" s="1">
        <v>5100</v>
      </c>
      <c r="I26" s="1">
        <v>5856</v>
      </c>
      <c r="J26" s="1">
        <v>6389</v>
      </c>
      <c r="K26" s="1">
        <v>4688</v>
      </c>
      <c r="L26" s="1">
        <v>2084</v>
      </c>
      <c r="M26" t="s">
        <v>92</v>
      </c>
      <c r="N26" t="s">
        <v>92</v>
      </c>
      <c r="O26" t="s">
        <v>92</v>
      </c>
      <c r="P26" t="s">
        <v>92</v>
      </c>
      <c r="Q26" t="s">
        <v>92</v>
      </c>
      <c r="R26" t="s">
        <v>92</v>
      </c>
      <c r="S26" t="s">
        <v>92</v>
      </c>
      <c r="T26" t="s">
        <v>92</v>
      </c>
      <c r="U26" t="s">
        <v>92</v>
      </c>
      <c r="V26" t="s">
        <v>92</v>
      </c>
      <c r="W26" t="s">
        <v>92</v>
      </c>
      <c r="X26" t="s">
        <v>92</v>
      </c>
      <c r="Y26" t="s">
        <v>92</v>
      </c>
      <c r="Z26" t="s">
        <v>92</v>
      </c>
      <c r="AA26" t="s">
        <v>92</v>
      </c>
      <c r="AB26" t="s">
        <v>92</v>
      </c>
      <c r="AC26" t="s">
        <v>92</v>
      </c>
      <c r="AD26" t="s">
        <v>92</v>
      </c>
      <c r="AE26" t="s">
        <v>92</v>
      </c>
      <c r="AF26" t="s">
        <v>92</v>
      </c>
      <c r="AG26" t="s">
        <v>92</v>
      </c>
      <c r="AH26" t="s">
        <v>92</v>
      </c>
      <c r="AI26" t="s">
        <v>92</v>
      </c>
      <c r="AJ26" t="s">
        <v>92</v>
      </c>
      <c r="AK26" t="s">
        <v>92</v>
      </c>
    </row>
    <row r="27" spans="1:37" x14ac:dyDescent="0.25">
      <c r="A27" t="s">
        <v>29</v>
      </c>
      <c r="B27" s="1">
        <v>22097</v>
      </c>
      <c r="C27" s="1">
        <v>15022</v>
      </c>
      <c r="D27" s="1">
        <v>18068</v>
      </c>
      <c r="E27" s="1">
        <v>21737</v>
      </c>
      <c r="F27" s="1">
        <v>23350</v>
      </c>
      <c r="G27" s="1">
        <v>32310</v>
      </c>
      <c r="H27" s="1">
        <v>21725</v>
      </c>
      <c r="I27" s="1">
        <v>22619</v>
      </c>
      <c r="J27" s="1">
        <v>28118</v>
      </c>
      <c r="K27" s="1">
        <v>25443</v>
      </c>
      <c r="L27" s="1">
        <v>16966</v>
      </c>
      <c r="M27" t="s">
        <v>92</v>
      </c>
      <c r="N27" t="s">
        <v>92</v>
      </c>
      <c r="O27" t="s">
        <v>92</v>
      </c>
      <c r="P27" t="s">
        <v>92</v>
      </c>
      <c r="Q27" t="s">
        <v>92</v>
      </c>
      <c r="R27" t="s">
        <v>92</v>
      </c>
      <c r="S27" t="s">
        <v>92</v>
      </c>
      <c r="T27" t="s">
        <v>92</v>
      </c>
      <c r="U27" t="s">
        <v>92</v>
      </c>
      <c r="V27" t="s">
        <v>92</v>
      </c>
      <c r="W27" t="s">
        <v>92</v>
      </c>
      <c r="X27" t="s">
        <v>92</v>
      </c>
      <c r="Y27" t="s">
        <v>92</v>
      </c>
      <c r="Z27" t="s">
        <v>92</v>
      </c>
      <c r="AA27" t="s">
        <v>92</v>
      </c>
      <c r="AB27" t="s">
        <v>92</v>
      </c>
      <c r="AC27" t="s">
        <v>92</v>
      </c>
      <c r="AD27" t="s">
        <v>92</v>
      </c>
      <c r="AE27" t="s">
        <v>92</v>
      </c>
      <c r="AF27" t="s">
        <v>92</v>
      </c>
      <c r="AG27" t="s">
        <v>92</v>
      </c>
      <c r="AH27" t="s">
        <v>92</v>
      </c>
      <c r="AI27" t="s">
        <v>92</v>
      </c>
      <c r="AJ27" t="s">
        <v>92</v>
      </c>
      <c r="AK27" t="s">
        <v>92</v>
      </c>
    </row>
    <row r="28" spans="1:37" x14ac:dyDescent="0.25">
      <c r="A28" t="s">
        <v>30</v>
      </c>
      <c r="B28" s="1">
        <v>5615</v>
      </c>
      <c r="C28" s="1">
        <v>3419</v>
      </c>
      <c r="D28" s="1">
        <v>4274</v>
      </c>
      <c r="E28" s="1">
        <v>5271</v>
      </c>
      <c r="F28" s="1">
        <v>5830</v>
      </c>
      <c r="G28" s="1">
        <v>9279</v>
      </c>
      <c r="H28" s="1">
        <v>5219</v>
      </c>
      <c r="I28" s="1">
        <v>6662</v>
      </c>
      <c r="J28" s="1">
        <v>7381</v>
      </c>
      <c r="K28" s="1">
        <v>6732</v>
      </c>
      <c r="L28" s="1">
        <v>3669</v>
      </c>
      <c r="M28" t="s">
        <v>92</v>
      </c>
      <c r="N28" t="s">
        <v>92</v>
      </c>
      <c r="O28" t="s">
        <v>92</v>
      </c>
      <c r="P28" t="s">
        <v>92</v>
      </c>
      <c r="Q28" t="s">
        <v>92</v>
      </c>
      <c r="R28" t="s">
        <v>92</v>
      </c>
      <c r="S28" t="s">
        <v>92</v>
      </c>
      <c r="T28" t="s">
        <v>92</v>
      </c>
      <c r="U28" t="s">
        <v>92</v>
      </c>
      <c r="V28" t="s">
        <v>92</v>
      </c>
      <c r="W28" t="s">
        <v>92</v>
      </c>
      <c r="X28" t="s">
        <v>92</v>
      </c>
      <c r="Y28" t="s">
        <v>92</v>
      </c>
      <c r="Z28" t="s">
        <v>92</v>
      </c>
      <c r="AA28" t="s">
        <v>92</v>
      </c>
      <c r="AB28" t="s">
        <v>92</v>
      </c>
      <c r="AC28" t="s">
        <v>92</v>
      </c>
      <c r="AD28" t="s">
        <v>92</v>
      </c>
      <c r="AE28" t="s">
        <v>92</v>
      </c>
      <c r="AF28" t="s">
        <v>92</v>
      </c>
      <c r="AG28" t="s">
        <v>92</v>
      </c>
      <c r="AH28" t="s">
        <v>92</v>
      </c>
      <c r="AI28" t="s">
        <v>92</v>
      </c>
      <c r="AJ28" t="s">
        <v>92</v>
      </c>
      <c r="AK28" t="s">
        <v>92</v>
      </c>
    </row>
    <row r="29" spans="1:37" x14ac:dyDescent="0.25">
      <c r="A29" t="s">
        <v>31</v>
      </c>
      <c r="B29" s="1">
        <v>3989</v>
      </c>
      <c r="C29" s="1">
        <v>2282</v>
      </c>
      <c r="D29" s="1">
        <v>3261</v>
      </c>
      <c r="E29" s="1">
        <v>4163</v>
      </c>
      <c r="F29" s="1">
        <v>4033</v>
      </c>
      <c r="G29" s="1">
        <v>6204</v>
      </c>
      <c r="H29" s="1">
        <v>2249</v>
      </c>
      <c r="I29" s="1">
        <v>2911</v>
      </c>
      <c r="J29" s="1">
        <v>4491</v>
      </c>
      <c r="K29" s="1">
        <v>5520</v>
      </c>
      <c r="L29" s="1">
        <v>4528</v>
      </c>
      <c r="M29" t="s">
        <v>92</v>
      </c>
      <c r="N29" t="s">
        <v>92</v>
      </c>
      <c r="O29" t="s">
        <v>92</v>
      </c>
      <c r="P29" t="s">
        <v>92</v>
      </c>
      <c r="Q29" t="s">
        <v>92</v>
      </c>
      <c r="R29" t="s">
        <v>92</v>
      </c>
      <c r="S29" t="s">
        <v>92</v>
      </c>
      <c r="T29" t="s">
        <v>92</v>
      </c>
      <c r="U29" t="s">
        <v>92</v>
      </c>
      <c r="V29" t="s">
        <v>92</v>
      </c>
      <c r="W29" t="s">
        <v>92</v>
      </c>
      <c r="X29" t="s">
        <v>92</v>
      </c>
      <c r="Y29" t="s">
        <v>92</v>
      </c>
      <c r="Z29" t="s">
        <v>92</v>
      </c>
      <c r="AA29" t="s">
        <v>92</v>
      </c>
      <c r="AB29" t="s">
        <v>92</v>
      </c>
      <c r="AC29" t="s">
        <v>92</v>
      </c>
      <c r="AD29" t="s">
        <v>92</v>
      </c>
      <c r="AE29" t="s">
        <v>92</v>
      </c>
      <c r="AF29" t="s">
        <v>92</v>
      </c>
      <c r="AG29" t="s">
        <v>92</v>
      </c>
      <c r="AH29" t="s">
        <v>92</v>
      </c>
      <c r="AI29" t="s">
        <v>92</v>
      </c>
      <c r="AJ29" t="s">
        <v>92</v>
      </c>
      <c r="AK29" t="s">
        <v>92</v>
      </c>
    </row>
    <row r="30" spans="1:37" x14ac:dyDescent="0.25">
      <c r="A30" t="s">
        <v>32</v>
      </c>
      <c r="B30" s="1">
        <v>14677</v>
      </c>
      <c r="C30" s="1">
        <v>9932</v>
      </c>
      <c r="D30" s="1">
        <v>12502</v>
      </c>
      <c r="E30" s="1">
        <v>13747</v>
      </c>
      <c r="F30" s="1">
        <v>16550</v>
      </c>
      <c r="G30" s="1">
        <v>20654</v>
      </c>
      <c r="H30" s="1">
        <v>14296</v>
      </c>
      <c r="I30" s="1">
        <v>17377</v>
      </c>
      <c r="J30" s="1">
        <v>22737</v>
      </c>
      <c r="K30" s="1">
        <v>15726</v>
      </c>
      <c r="L30" s="1">
        <v>8524</v>
      </c>
      <c r="M30" t="s">
        <v>92</v>
      </c>
      <c r="N30" t="s">
        <v>92</v>
      </c>
      <c r="O30" t="s">
        <v>92</v>
      </c>
      <c r="P30" t="s">
        <v>92</v>
      </c>
      <c r="Q30" t="s">
        <v>92</v>
      </c>
      <c r="R30" t="s">
        <v>92</v>
      </c>
      <c r="S30" t="s">
        <v>92</v>
      </c>
      <c r="T30" t="s">
        <v>92</v>
      </c>
      <c r="U30" t="s">
        <v>92</v>
      </c>
      <c r="V30" t="s">
        <v>92</v>
      </c>
      <c r="W30" t="s">
        <v>92</v>
      </c>
      <c r="X30" t="s">
        <v>92</v>
      </c>
      <c r="Y30" t="s">
        <v>92</v>
      </c>
      <c r="Z30" t="s">
        <v>92</v>
      </c>
      <c r="AA30" t="s">
        <v>92</v>
      </c>
      <c r="AB30" t="s">
        <v>92</v>
      </c>
      <c r="AC30" t="s">
        <v>92</v>
      </c>
      <c r="AD30" t="s">
        <v>92</v>
      </c>
      <c r="AE30" t="s">
        <v>92</v>
      </c>
      <c r="AF30" t="s">
        <v>92</v>
      </c>
      <c r="AG30" t="s">
        <v>92</v>
      </c>
      <c r="AH30" t="s">
        <v>92</v>
      </c>
      <c r="AI30" t="s">
        <v>92</v>
      </c>
      <c r="AJ30" t="s">
        <v>92</v>
      </c>
      <c r="AK30" t="s">
        <v>92</v>
      </c>
    </row>
    <row r="31" spans="1:37" x14ac:dyDescent="0.25">
      <c r="A31" t="s">
        <v>33</v>
      </c>
      <c r="B31" s="1">
        <v>2368</v>
      </c>
      <c r="C31" s="1">
        <v>1877</v>
      </c>
      <c r="D31" s="1">
        <v>2109</v>
      </c>
      <c r="E31" s="1">
        <v>2425</v>
      </c>
      <c r="F31" s="1">
        <v>2675</v>
      </c>
      <c r="G31" s="1">
        <v>2756</v>
      </c>
      <c r="H31" s="1">
        <v>2565</v>
      </c>
      <c r="I31" s="1">
        <v>2615</v>
      </c>
      <c r="J31" s="1">
        <v>3100</v>
      </c>
      <c r="K31" s="1">
        <v>2655</v>
      </c>
      <c r="L31" s="1">
        <v>1559</v>
      </c>
      <c r="M31" t="s">
        <v>92</v>
      </c>
      <c r="N31" t="s">
        <v>92</v>
      </c>
      <c r="O31" t="s">
        <v>92</v>
      </c>
      <c r="P31" t="s">
        <v>92</v>
      </c>
      <c r="Q31" t="s">
        <v>92</v>
      </c>
      <c r="R31" t="s">
        <v>92</v>
      </c>
      <c r="S31" t="s">
        <v>92</v>
      </c>
      <c r="T31" t="s">
        <v>92</v>
      </c>
      <c r="U31" t="s">
        <v>92</v>
      </c>
      <c r="V31" t="s">
        <v>92</v>
      </c>
      <c r="W31" t="s">
        <v>92</v>
      </c>
      <c r="X31" t="s">
        <v>92</v>
      </c>
      <c r="Y31" t="s">
        <v>92</v>
      </c>
      <c r="Z31" t="s">
        <v>92</v>
      </c>
      <c r="AA31" t="s">
        <v>92</v>
      </c>
      <c r="AB31" t="s">
        <v>92</v>
      </c>
      <c r="AC31" t="s">
        <v>92</v>
      </c>
      <c r="AD31" t="s">
        <v>92</v>
      </c>
      <c r="AE31" t="s">
        <v>92</v>
      </c>
      <c r="AF31" t="s">
        <v>92</v>
      </c>
      <c r="AG31" t="s">
        <v>92</v>
      </c>
      <c r="AH31" t="s">
        <v>92</v>
      </c>
      <c r="AI31" t="s">
        <v>92</v>
      </c>
      <c r="AJ31" t="s">
        <v>92</v>
      </c>
      <c r="AK31" t="s">
        <v>92</v>
      </c>
    </row>
    <row r="32" spans="1:37" x14ac:dyDescent="0.25">
      <c r="A32" t="s">
        <v>34</v>
      </c>
      <c r="B32" s="1">
        <v>8108</v>
      </c>
      <c r="C32" s="1">
        <v>5653</v>
      </c>
      <c r="D32" s="1">
        <v>6010</v>
      </c>
      <c r="E32" s="1">
        <v>7524</v>
      </c>
      <c r="F32" s="1">
        <v>9373</v>
      </c>
      <c r="G32" s="1">
        <v>11979</v>
      </c>
      <c r="H32" s="1">
        <v>7401</v>
      </c>
      <c r="I32" s="1">
        <v>10014</v>
      </c>
      <c r="J32" s="1">
        <v>10935</v>
      </c>
      <c r="K32" s="1">
        <v>9739</v>
      </c>
      <c r="L32" s="1">
        <v>4999</v>
      </c>
      <c r="M32" t="s">
        <v>92</v>
      </c>
      <c r="N32" t="s">
        <v>92</v>
      </c>
      <c r="O32" t="s">
        <v>92</v>
      </c>
      <c r="P32" t="s">
        <v>92</v>
      </c>
      <c r="Q32" t="s">
        <v>92</v>
      </c>
      <c r="R32" t="s">
        <v>92</v>
      </c>
      <c r="S32" t="s">
        <v>92</v>
      </c>
      <c r="T32" t="s">
        <v>92</v>
      </c>
      <c r="U32" t="s">
        <v>92</v>
      </c>
      <c r="V32" t="s">
        <v>92</v>
      </c>
      <c r="W32" t="s">
        <v>92</v>
      </c>
      <c r="X32" t="s">
        <v>92</v>
      </c>
      <c r="Y32" t="s">
        <v>92</v>
      </c>
      <c r="Z32" t="s">
        <v>92</v>
      </c>
      <c r="AA32" t="s">
        <v>92</v>
      </c>
      <c r="AB32" t="s">
        <v>92</v>
      </c>
      <c r="AC32" t="s">
        <v>92</v>
      </c>
      <c r="AD32" t="s">
        <v>92</v>
      </c>
      <c r="AE32" t="s">
        <v>92</v>
      </c>
      <c r="AF32" t="s">
        <v>92</v>
      </c>
      <c r="AG32" t="s">
        <v>92</v>
      </c>
      <c r="AH32" t="s">
        <v>92</v>
      </c>
      <c r="AI32" t="s">
        <v>92</v>
      </c>
      <c r="AJ32" t="s">
        <v>92</v>
      </c>
      <c r="AK32" t="s">
        <v>92</v>
      </c>
    </row>
    <row r="33" spans="1:37" x14ac:dyDescent="0.25">
      <c r="A33" t="s">
        <v>35</v>
      </c>
      <c r="B33" s="1">
        <v>1197</v>
      </c>
      <c r="C33" s="1">
        <v>1223</v>
      </c>
      <c r="D33">
        <v>708</v>
      </c>
      <c r="E33">
        <v>906</v>
      </c>
      <c r="F33" s="1">
        <v>1139</v>
      </c>
      <c r="G33" s="1">
        <v>2011</v>
      </c>
      <c r="H33" s="1">
        <v>1779</v>
      </c>
      <c r="I33" s="1">
        <v>1156</v>
      </c>
      <c r="J33" s="1">
        <v>2571</v>
      </c>
      <c r="K33" s="1">
        <v>1343</v>
      </c>
      <c r="L33">
        <v>75</v>
      </c>
      <c r="M33" t="s">
        <v>92</v>
      </c>
      <c r="N33" t="s">
        <v>92</v>
      </c>
      <c r="O33" t="s">
        <v>92</v>
      </c>
      <c r="P33" t="s">
        <v>92</v>
      </c>
      <c r="Q33" t="s">
        <v>92</v>
      </c>
      <c r="R33" t="s">
        <v>92</v>
      </c>
      <c r="S33" t="s">
        <v>92</v>
      </c>
      <c r="T33" t="s">
        <v>92</v>
      </c>
      <c r="U33" t="s">
        <v>92</v>
      </c>
      <c r="V33" t="s">
        <v>92</v>
      </c>
      <c r="W33" t="s">
        <v>92</v>
      </c>
      <c r="X33" t="s">
        <v>92</v>
      </c>
      <c r="Y33" t="s">
        <v>92</v>
      </c>
      <c r="Z33" t="s">
        <v>92</v>
      </c>
      <c r="AA33" t="s">
        <v>92</v>
      </c>
      <c r="AB33" t="s">
        <v>92</v>
      </c>
      <c r="AC33" t="s">
        <v>92</v>
      </c>
      <c r="AD33" t="s">
        <v>92</v>
      </c>
      <c r="AE33" t="s">
        <v>92</v>
      </c>
      <c r="AF33" t="s">
        <v>92</v>
      </c>
      <c r="AG33" t="s">
        <v>92</v>
      </c>
      <c r="AH33" t="s">
        <v>92</v>
      </c>
      <c r="AI33" t="s">
        <v>92</v>
      </c>
      <c r="AJ33" t="s">
        <v>92</v>
      </c>
      <c r="AK33" t="s">
        <v>92</v>
      </c>
    </row>
    <row r="34" spans="1:37" x14ac:dyDescent="0.25">
      <c r="A34" t="s">
        <v>36</v>
      </c>
      <c r="B34" s="1">
        <v>7023</v>
      </c>
      <c r="C34" s="1">
        <v>1508</v>
      </c>
      <c r="D34" s="1">
        <v>4165</v>
      </c>
      <c r="E34" s="1">
        <v>6765</v>
      </c>
      <c r="F34" s="1">
        <v>8654</v>
      </c>
      <c r="G34" s="1">
        <v>14023</v>
      </c>
      <c r="H34" s="1">
        <v>6081</v>
      </c>
      <c r="I34" s="1">
        <v>7700</v>
      </c>
      <c r="J34" s="1">
        <v>10452</v>
      </c>
      <c r="K34" s="1">
        <v>9113</v>
      </c>
      <c r="L34" s="1">
        <v>4208</v>
      </c>
      <c r="M34" t="s">
        <v>92</v>
      </c>
      <c r="N34" t="s">
        <v>92</v>
      </c>
      <c r="O34" t="s">
        <v>92</v>
      </c>
      <c r="P34" t="s">
        <v>92</v>
      </c>
      <c r="Q34" t="s">
        <v>92</v>
      </c>
      <c r="R34" t="s">
        <v>92</v>
      </c>
      <c r="S34" t="s">
        <v>92</v>
      </c>
      <c r="T34" t="s">
        <v>92</v>
      </c>
      <c r="U34" t="s">
        <v>92</v>
      </c>
      <c r="V34" t="s">
        <v>92</v>
      </c>
      <c r="W34" t="s">
        <v>92</v>
      </c>
      <c r="X34" t="s">
        <v>92</v>
      </c>
      <c r="Y34" t="s">
        <v>92</v>
      </c>
      <c r="Z34" t="s">
        <v>92</v>
      </c>
      <c r="AA34" t="s">
        <v>92</v>
      </c>
      <c r="AB34" t="s">
        <v>92</v>
      </c>
      <c r="AC34" t="s">
        <v>92</v>
      </c>
      <c r="AD34" t="s">
        <v>92</v>
      </c>
      <c r="AE34" t="s">
        <v>92</v>
      </c>
      <c r="AF34" t="s">
        <v>92</v>
      </c>
      <c r="AG34" t="s">
        <v>92</v>
      </c>
      <c r="AH34" t="s">
        <v>92</v>
      </c>
      <c r="AI34" t="s">
        <v>92</v>
      </c>
      <c r="AJ34" t="s">
        <v>92</v>
      </c>
      <c r="AK34" t="s">
        <v>92</v>
      </c>
    </row>
    <row r="35" spans="1:37" x14ac:dyDescent="0.25">
      <c r="A35" t="s">
        <v>37</v>
      </c>
      <c r="B35" s="1">
        <v>7305</v>
      </c>
      <c r="C35" s="1">
        <v>5124</v>
      </c>
      <c r="D35" s="1">
        <v>5453</v>
      </c>
      <c r="E35" s="1">
        <v>6858</v>
      </c>
      <c r="F35" s="1">
        <v>7657</v>
      </c>
      <c r="G35" s="1">
        <v>11433</v>
      </c>
      <c r="H35" s="1">
        <v>6613</v>
      </c>
      <c r="I35" s="1">
        <v>7170</v>
      </c>
      <c r="J35" s="1">
        <v>9613</v>
      </c>
      <c r="K35" s="1">
        <v>8475</v>
      </c>
      <c r="L35" s="1">
        <v>5934</v>
      </c>
      <c r="M35" t="s">
        <v>92</v>
      </c>
      <c r="N35" t="s">
        <v>92</v>
      </c>
      <c r="O35" t="s">
        <v>92</v>
      </c>
      <c r="P35" t="s">
        <v>92</v>
      </c>
      <c r="Q35" t="s">
        <v>92</v>
      </c>
      <c r="R35" t="s">
        <v>92</v>
      </c>
      <c r="S35" t="s">
        <v>92</v>
      </c>
      <c r="T35" t="s">
        <v>92</v>
      </c>
      <c r="U35" t="s">
        <v>92</v>
      </c>
      <c r="V35" t="s">
        <v>92</v>
      </c>
      <c r="W35" t="s">
        <v>92</v>
      </c>
      <c r="X35" t="s">
        <v>92</v>
      </c>
      <c r="Y35" t="s">
        <v>92</v>
      </c>
      <c r="Z35" t="s">
        <v>92</v>
      </c>
      <c r="AA35" t="s">
        <v>92</v>
      </c>
      <c r="AB35" t="s">
        <v>92</v>
      </c>
      <c r="AC35" t="s">
        <v>92</v>
      </c>
      <c r="AD35" t="s">
        <v>92</v>
      </c>
      <c r="AE35" t="s">
        <v>92</v>
      </c>
      <c r="AF35" t="s">
        <v>92</v>
      </c>
      <c r="AG35" t="s">
        <v>92</v>
      </c>
      <c r="AH35" t="s">
        <v>92</v>
      </c>
      <c r="AI35" t="s">
        <v>92</v>
      </c>
      <c r="AJ35" t="s">
        <v>92</v>
      </c>
      <c r="AK35" t="s">
        <v>92</v>
      </c>
    </row>
    <row r="36" spans="1:37" x14ac:dyDescent="0.25">
      <c r="A36" t="s">
        <v>38</v>
      </c>
      <c r="B36" s="1">
        <v>4901</v>
      </c>
      <c r="C36" s="1">
        <v>3811</v>
      </c>
      <c r="D36" s="1">
        <v>4398</v>
      </c>
      <c r="E36" s="1">
        <v>4800</v>
      </c>
      <c r="F36" s="1">
        <v>5609</v>
      </c>
      <c r="G36" s="1">
        <v>5885</v>
      </c>
      <c r="H36" s="1">
        <v>4762</v>
      </c>
      <c r="I36" s="1">
        <v>5673</v>
      </c>
      <c r="J36" s="1">
        <v>5105</v>
      </c>
      <c r="K36" s="1">
        <v>4346</v>
      </c>
      <c r="L36" s="1">
        <v>4736</v>
      </c>
      <c r="M36" t="s">
        <v>92</v>
      </c>
      <c r="N36" t="s">
        <v>92</v>
      </c>
      <c r="O36" t="s">
        <v>92</v>
      </c>
      <c r="P36" t="s">
        <v>92</v>
      </c>
      <c r="Q36" t="s">
        <v>92</v>
      </c>
      <c r="R36" t="s">
        <v>92</v>
      </c>
      <c r="S36" t="s">
        <v>92</v>
      </c>
      <c r="T36" t="s">
        <v>92</v>
      </c>
      <c r="U36" t="s">
        <v>92</v>
      </c>
      <c r="V36" t="s">
        <v>92</v>
      </c>
      <c r="W36" t="s">
        <v>92</v>
      </c>
      <c r="X36" t="s">
        <v>92</v>
      </c>
      <c r="Y36" t="s">
        <v>92</v>
      </c>
      <c r="Z36" t="s">
        <v>92</v>
      </c>
      <c r="AA36" t="s">
        <v>92</v>
      </c>
      <c r="AB36" t="s">
        <v>92</v>
      </c>
      <c r="AC36" t="s">
        <v>92</v>
      </c>
      <c r="AD36" t="s">
        <v>92</v>
      </c>
      <c r="AE36" t="s">
        <v>92</v>
      </c>
      <c r="AF36" t="s">
        <v>92</v>
      </c>
      <c r="AG36" t="s">
        <v>92</v>
      </c>
      <c r="AH36" t="s">
        <v>92</v>
      </c>
      <c r="AI36" t="s">
        <v>92</v>
      </c>
      <c r="AJ36" t="s">
        <v>92</v>
      </c>
      <c r="AK36" t="s">
        <v>92</v>
      </c>
    </row>
    <row r="37" spans="1:37" x14ac:dyDescent="0.25">
      <c r="A37" t="s">
        <v>39</v>
      </c>
      <c r="B37" s="1">
        <v>2642</v>
      </c>
      <c r="C37">
        <v>-620</v>
      </c>
      <c r="D37" s="1">
        <v>-1434</v>
      </c>
      <c r="E37">
        <v>888</v>
      </c>
      <c r="F37" s="1">
        <v>6370</v>
      </c>
      <c r="G37" s="1">
        <v>8008</v>
      </c>
      <c r="H37" s="1">
        <v>9320</v>
      </c>
      <c r="I37" s="1">
        <v>13308</v>
      </c>
      <c r="J37" s="1">
        <v>13672</v>
      </c>
      <c r="K37" s="1">
        <v>3278</v>
      </c>
      <c r="L37" s="1">
        <v>-13751</v>
      </c>
      <c r="M37" t="s">
        <v>92</v>
      </c>
      <c r="N37" t="s">
        <v>92</v>
      </c>
      <c r="O37" t="s">
        <v>92</v>
      </c>
      <c r="P37" t="s">
        <v>92</v>
      </c>
      <c r="Q37" t="s">
        <v>92</v>
      </c>
      <c r="R37" t="s">
        <v>92</v>
      </c>
      <c r="S37" t="s">
        <v>92</v>
      </c>
      <c r="T37" t="s">
        <v>92</v>
      </c>
      <c r="U37" t="s">
        <v>92</v>
      </c>
      <c r="V37" t="s">
        <v>92</v>
      </c>
      <c r="W37" t="s">
        <v>92</v>
      </c>
      <c r="X37" t="s">
        <v>92</v>
      </c>
      <c r="Y37" t="s">
        <v>92</v>
      </c>
      <c r="Z37" t="s">
        <v>92</v>
      </c>
      <c r="AA37" t="s">
        <v>92</v>
      </c>
      <c r="AB37" t="s">
        <v>92</v>
      </c>
      <c r="AC37" t="s">
        <v>92</v>
      </c>
      <c r="AD37" t="s">
        <v>92</v>
      </c>
      <c r="AE37" t="s">
        <v>92</v>
      </c>
      <c r="AF37" t="s">
        <v>92</v>
      </c>
      <c r="AG37" t="s">
        <v>92</v>
      </c>
      <c r="AH37" t="s">
        <v>92</v>
      </c>
      <c r="AI37" t="s">
        <v>92</v>
      </c>
      <c r="AJ37" t="s">
        <v>92</v>
      </c>
      <c r="AK37" t="s">
        <v>92</v>
      </c>
    </row>
    <row r="38" spans="1:37" x14ac:dyDescent="0.25">
      <c r="A38" t="s">
        <v>40</v>
      </c>
      <c r="B38" s="1">
        <v>5342</v>
      </c>
      <c r="C38" s="1">
        <v>-30984</v>
      </c>
      <c r="D38" s="1">
        <v>-17105</v>
      </c>
      <c r="E38" s="1">
        <v>-11380</v>
      </c>
      <c r="F38" s="1">
        <v>17517</v>
      </c>
      <c r="G38" s="1">
        <v>68660</v>
      </c>
      <c r="H38" s="1">
        <v>18173</v>
      </c>
      <c r="I38" s="1">
        <v>22507</v>
      </c>
      <c r="J38" s="1">
        <v>16522</v>
      </c>
      <c r="K38" s="1">
        <v>-2654</v>
      </c>
      <c r="L38" s="1">
        <v>-13756</v>
      </c>
      <c r="M38" t="s">
        <v>92</v>
      </c>
      <c r="N38" t="s">
        <v>92</v>
      </c>
      <c r="O38" t="s">
        <v>92</v>
      </c>
      <c r="P38" t="s">
        <v>92</v>
      </c>
      <c r="Q38" t="s">
        <v>92</v>
      </c>
      <c r="R38" t="s">
        <v>92</v>
      </c>
      <c r="S38" t="s">
        <v>92</v>
      </c>
      <c r="T38" t="s">
        <v>92</v>
      </c>
      <c r="U38" t="s">
        <v>92</v>
      </c>
      <c r="V38" t="s">
        <v>92</v>
      </c>
      <c r="W38" t="s">
        <v>92</v>
      </c>
      <c r="X38" t="s">
        <v>92</v>
      </c>
      <c r="Y38" t="s">
        <v>92</v>
      </c>
      <c r="Z38" t="s">
        <v>92</v>
      </c>
      <c r="AA38" t="s">
        <v>92</v>
      </c>
      <c r="AB38" t="s">
        <v>92</v>
      </c>
      <c r="AC38" t="s">
        <v>92</v>
      </c>
      <c r="AD38" t="s">
        <v>92</v>
      </c>
      <c r="AE38" t="s">
        <v>92</v>
      </c>
      <c r="AF38" t="s">
        <v>92</v>
      </c>
      <c r="AG38" t="s">
        <v>92</v>
      </c>
      <c r="AH38" t="s">
        <v>92</v>
      </c>
      <c r="AI38" t="s">
        <v>92</v>
      </c>
      <c r="AJ38" t="s">
        <v>92</v>
      </c>
      <c r="AK38" t="s">
        <v>92</v>
      </c>
    </row>
    <row r="40" spans="1:37" x14ac:dyDescent="0.25">
      <c r="A40" t="s">
        <v>93</v>
      </c>
    </row>
    <row r="41" spans="1:37" x14ac:dyDescent="0.25">
      <c r="A41" t="s">
        <v>92</v>
      </c>
      <c r="B41" t="s">
        <v>94</v>
      </c>
    </row>
    <row r="46" spans="1:37" x14ac:dyDescent="0.25">
      <c r="A46" t="s">
        <v>41</v>
      </c>
    </row>
    <row r="47" spans="1:37" x14ac:dyDescent="0.25">
      <c r="A47">
        <v>1</v>
      </c>
      <c r="B47" t="s">
        <v>42</v>
      </c>
      <c r="C47" t="s">
        <v>43</v>
      </c>
      <c r="D47" t="s">
        <v>44</v>
      </c>
    </row>
    <row r="48" spans="1:37" x14ac:dyDescent="0.25">
      <c r="A48">
        <v>2</v>
      </c>
      <c r="B48" t="s">
        <v>61</v>
      </c>
    </row>
    <row r="52" spans="1:1" x14ac:dyDescent="0.25">
      <c r="A52" t="s">
        <v>45</v>
      </c>
    </row>
    <row r="53" spans="1:1" x14ac:dyDescent="0.25">
      <c r="A53" t="s">
        <v>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Y51"/>
  <sheetViews>
    <sheetView workbookViewId="0">
      <selection activeCell="A6" sqref="A6"/>
    </sheetView>
  </sheetViews>
  <sheetFormatPr defaultRowHeight="15" x14ac:dyDescent="0.25"/>
  <sheetData>
    <row r="1" spans="1:51" x14ac:dyDescent="0.25">
      <c r="A1" t="s">
        <v>116</v>
      </c>
    </row>
    <row r="2" spans="1:51" x14ac:dyDescent="0.25">
      <c r="A2" t="s">
        <v>1</v>
      </c>
    </row>
    <row r="3" spans="1:51" x14ac:dyDescent="0.25">
      <c r="A3" t="s">
        <v>2</v>
      </c>
    </row>
    <row r="4" spans="1:51" x14ac:dyDescent="0.25">
      <c r="A4" t="s">
        <v>3</v>
      </c>
    </row>
    <row r="5" spans="1:51" x14ac:dyDescent="0.25">
      <c r="A5" t="s">
        <v>4</v>
      </c>
    </row>
    <row r="6" spans="1:51" x14ac:dyDescent="0.25">
      <c r="A6" s="2" t="s">
        <v>124</v>
      </c>
    </row>
    <row r="9" spans="1:51" x14ac:dyDescent="0.25">
      <c r="A9" t="s">
        <v>5</v>
      </c>
      <c r="B9" t="s">
        <v>6</v>
      </c>
    </row>
    <row r="10" spans="1:51" x14ac:dyDescent="0.25">
      <c r="A10" t="s">
        <v>7</v>
      </c>
      <c r="B10" t="s">
        <v>117</v>
      </c>
    </row>
    <row r="11" spans="1:51" x14ac:dyDescent="0.25">
      <c r="A11" t="s">
        <v>9</v>
      </c>
      <c r="B11" t="s">
        <v>67</v>
      </c>
      <c r="AA11" t="s">
        <v>87</v>
      </c>
    </row>
    <row r="12" spans="1:51" x14ac:dyDescent="0.25">
      <c r="A12" t="s">
        <v>16</v>
      </c>
      <c r="B12">
        <v>1999</v>
      </c>
      <c r="C12">
        <v>2000</v>
      </c>
      <c r="D12">
        <v>2001</v>
      </c>
      <c r="E12">
        <v>2002</v>
      </c>
      <c r="F12">
        <v>2003</v>
      </c>
      <c r="G12">
        <v>2004</v>
      </c>
      <c r="H12">
        <v>2005</v>
      </c>
      <c r="I12">
        <v>2006</v>
      </c>
      <c r="J12">
        <v>2007</v>
      </c>
      <c r="K12">
        <v>2008</v>
      </c>
      <c r="L12">
        <v>2009</v>
      </c>
      <c r="M12">
        <v>2010</v>
      </c>
      <c r="N12">
        <v>2011</v>
      </c>
      <c r="O12">
        <v>2012</v>
      </c>
      <c r="P12">
        <v>2013</v>
      </c>
      <c r="Q12">
        <v>2014</v>
      </c>
      <c r="R12">
        <v>2015</v>
      </c>
      <c r="S12">
        <v>2016</v>
      </c>
      <c r="T12">
        <v>2017</v>
      </c>
      <c r="U12">
        <v>2018</v>
      </c>
      <c r="V12">
        <v>2019</v>
      </c>
      <c r="W12">
        <v>2020</v>
      </c>
      <c r="X12">
        <v>2021</v>
      </c>
      <c r="Y12">
        <v>2022</v>
      </c>
      <c r="Z12">
        <v>2023</v>
      </c>
      <c r="AA12">
        <v>1999</v>
      </c>
      <c r="AB12">
        <v>2000</v>
      </c>
      <c r="AC12">
        <v>2001</v>
      </c>
      <c r="AD12">
        <v>2002</v>
      </c>
      <c r="AE12">
        <v>2003</v>
      </c>
      <c r="AF12">
        <v>2004</v>
      </c>
      <c r="AG12">
        <v>2005</v>
      </c>
      <c r="AH12">
        <v>2006</v>
      </c>
      <c r="AI12">
        <v>2007</v>
      </c>
      <c r="AJ12">
        <v>2008</v>
      </c>
      <c r="AK12">
        <v>2009</v>
      </c>
      <c r="AL12">
        <v>2010</v>
      </c>
      <c r="AM12">
        <v>2011</v>
      </c>
      <c r="AN12">
        <v>2012</v>
      </c>
      <c r="AO12">
        <v>2013</v>
      </c>
      <c r="AP12">
        <v>2014</v>
      </c>
      <c r="AQ12">
        <v>2015</v>
      </c>
      <c r="AR12">
        <v>2016</v>
      </c>
      <c r="AS12">
        <v>2017</v>
      </c>
      <c r="AT12">
        <v>2018</v>
      </c>
      <c r="AU12">
        <v>2019</v>
      </c>
      <c r="AV12">
        <v>2020</v>
      </c>
      <c r="AW12">
        <v>2021</v>
      </c>
      <c r="AX12">
        <v>2022</v>
      </c>
      <c r="AY12">
        <v>2023</v>
      </c>
    </row>
    <row r="13" spans="1:51" x14ac:dyDescent="0.25">
      <c r="B13" t="s">
        <v>17</v>
      </c>
    </row>
    <row r="14" spans="1:51" x14ac:dyDescent="0.25">
      <c r="A14" t="s">
        <v>18</v>
      </c>
      <c r="B14" s="1">
        <v>14002</v>
      </c>
      <c r="C14" s="1">
        <v>14089</v>
      </c>
      <c r="D14" s="1">
        <v>14590</v>
      </c>
      <c r="E14" s="1">
        <v>14976</v>
      </c>
      <c r="F14" s="1">
        <v>15216</v>
      </c>
      <c r="G14" s="1">
        <v>16089</v>
      </c>
      <c r="H14" s="1">
        <v>15822</v>
      </c>
      <c r="I14" s="1">
        <v>17790</v>
      </c>
      <c r="J14" s="1">
        <v>18792</v>
      </c>
      <c r="K14" s="1">
        <v>20538</v>
      </c>
      <c r="L14" s="1">
        <v>18743</v>
      </c>
      <c r="M14" s="1">
        <v>20478</v>
      </c>
      <c r="N14" s="1">
        <v>22799</v>
      </c>
      <c r="O14" s="1">
        <v>21988</v>
      </c>
      <c r="P14" s="1">
        <v>21618</v>
      </c>
      <c r="Q14" s="1">
        <v>24945</v>
      </c>
      <c r="R14" s="1">
        <v>23185</v>
      </c>
      <c r="S14" s="1">
        <v>25297</v>
      </c>
      <c r="T14" s="1">
        <v>26845</v>
      </c>
      <c r="U14" s="1">
        <v>28147</v>
      </c>
      <c r="V14" s="1">
        <v>27995</v>
      </c>
      <c r="W14" s="1">
        <v>33616</v>
      </c>
      <c r="X14" s="1">
        <v>33595</v>
      </c>
      <c r="Y14" s="1">
        <v>33401</v>
      </c>
      <c r="Z14" s="1">
        <v>32144</v>
      </c>
      <c r="AA14" s="1">
        <v>82093</v>
      </c>
      <c r="AB14" s="1">
        <v>85719</v>
      </c>
      <c r="AC14" s="1">
        <v>86051</v>
      </c>
      <c r="AD14" s="1">
        <v>88957</v>
      </c>
      <c r="AE14" s="1">
        <v>88944</v>
      </c>
      <c r="AF14" s="1">
        <v>93273</v>
      </c>
      <c r="AG14" s="1">
        <v>100011</v>
      </c>
      <c r="AH14" s="1">
        <v>98445</v>
      </c>
      <c r="AI14" s="1">
        <v>105455</v>
      </c>
      <c r="AJ14" s="1">
        <v>106598</v>
      </c>
      <c r="AK14" s="1">
        <v>114417</v>
      </c>
      <c r="AL14" s="1">
        <v>112246</v>
      </c>
      <c r="AM14" s="1">
        <v>114151</v>
      </c>
      <c r="AN14" s="1">
        <v>123692</v>
      </c>
      <c r="AO14" s="1">
        <v>117129</v>
      </c>
      <c r="AP14" s="1">
        <v>130009</v>
      </c>
      <c r="AQ14" s="1">
        <v>128439</v>
      </c>
      <c r="AR14" s="1">
        <v>131995</v>
      </c>
      <c r="AS14" s="1">
        <v>136602</v>
      </c>
      <c r="AT14" s="1">
        <v>138373</v>
      </c>
      <c r="AU14" s="1">
        <v>146252</v>
      </c>
      <c r="AV14" s="1">
        <v>153590</v>
      </c>
      <c r="AW14" s="1">
        <v>177792</v>
      </c>
      <c r="AX14" s="1">
        <v>193694</v>
      </c>
      <c r="AY14" s="1">
        <v>182418</v>
      </c>
    </row>
    <row r="15" spans="1:51" x14ac:dyDescent="0.25">
      <c r="A15" t="s">
        <v>19</v>
      </c>
      <c r="B15" t="s">
        <v>92</v>
      </c>
      <c r="C15" t="s">
        <v>92</v>
      </c>
      <c r="D15" t="s">
        <v>92</v>
      </c>
      <c r="E15" t="s">
        <v>92</v>
      </c>
      <c r="F15" t="s">
        <v>92</v>
      </c>
      <c r="G15" t="s">
        <v>92</v>
      </c>
      <c r="H15" t="s">
        <v>92</v>
      </c>
      <c r="I15" t="s">
        <v>92</v>
      </c>
      <c r="J15" t="s">
        <v>92</v>
      </c>
      <c r="K15" t="s">
        <v>92</v>
      </c>
      <c r="L15" t="s">
        <v>92</v>
      </c>
      <c r="M15" t="s">
        <v>92</v>
      </c>
      <c r="N15" t="s">
        <v>92</v>
      </c>
      <c r="O15" t="s">
        <v>92</v>
      </c>
      <c r="P15" t="s">
        <v>92</v>
      </c>
      <c r="Q15" t="s">
        <v>92</v>
      </c>
      <c r="R15" t="s">
        <v>92</v>
      </c>
      <c r="S15" t="s">
        <v>92</v>
      </c>
      <c r="T15" t="s">
        <v>92</v>
      </c>
      <c r="U15" t="s">
        <v>92</v>
      </c>
      <c r="V15" t="s">
        <v>92</v>
      </c>
      <c r="W15" t="s">
        <v>92</v>
      </c>
      <c r="X15" t="s">
        <v>92</v>
      </c>
      <c r="Y15" t="s">
        <v>92</v>
      </c>
      <c r="Z15" t="s">
        <v>92</v>
      </c>
      <c r="AA15" t="s">
        <v>92</v>
      </c>
      <c r="AB15" t="s">
        <v>92</v>
      </c>
      <c r="AC15" t="s">
        <v>92</v>
      </c>
      <c r="AD15" t="s">
        <v>92</v>
      </c>
      <c r="AE15" t="s">
        <v>92</v>
      </c>
      <c r="AF15" t="s">
        <v>92</v>
      </c>
      <c r="AG15" t="s">
        <v>92</v>
      </c>
      <c r="AH15" t="s">
        <v>92</v>
      </c>
      <c r="AI15" t="s">
        <v>92</v>
      </c>
      <c r="AJ15" t="s">
        <v>92</v>
      </c>
      <c r="AK15" t="s">
        <v>92</v>
      </c>
      <c r="AL15" t="s">
        <v>92</v>
      </c>
      <c r="AM15" t="s">
        <v>92</v>
      </c>
      <c r="AN15" t="s">
        <v>92</v>
      </c>
      <c r="AO15" t="s">
        <v>92</v>
      </c>
      <c r="AP15" t="s">
        <v>92</v>
      </c>
      <c r="AQ15" t="s">
        <v>92</v>
      </c>
      <c r="AR15" t="s">
        <v>92</v>
      </c>
      <c r="AS15" t="s">
        <v>92</v>
      </c>
      <c r="AT15" t="s">
        <v>92</v>
      </c>
      <c r="AU15" t="s">
        <v>92</v>
      </c>
      <c r="AV15" t="s">
        <v>92</v>
      </c>
      <c r="AW15" t="s">
        <v>92</v>
      </c>
      <c r="AX15" t="s">
        <v>92</v>
      </c>
      <c r="AY15" t="s">
        <v>92</v>
      </c>
    </row>
    <row r="16" spans="1:51" x14ac:dyDescent="0.25">
      <c r="A16" t="s">
        <v>20</v>
      </c>
      <c r="B16" t="s">
        <v>92</v>
      </c>
      <c r="C16" t="s">
        <v>92</v>
      </c>
      <c r="D16" t="s">
        <v>92</v>
      </c>
      <c r="E16" t="s">
        <v>92</v>
      </c>
      <c r="F16" t="s">
        <v>92</v>
      </c>
      <c r="G16" t="s">
        <v>92</v>
      </c>
      <c r="H16" t="s">
        <v>92</v>
      </c>
      <c r="I16" t="s">
        <v>92</v>
      </c>
      <c r="J16" t="s">
        <v>92</v>
      </c>
      <c r="K16" t="s">
        <v>92</v>
      </c>
      <c r="L16" t="s">
        <v>92</v>
      </c>
      <c r="M16" t="s">
        <v>92</v>
      </c>
      <c r="N16" t="s">
        <v>92</v>
      </c>
      <c r="O16" t="s">
        <v>92</v>
      </c>
      <c r="P16" t="s">
        <v>92</v>
      </c>
      <c r="Q16" t="s">
        <v>92</v>
      </c>
      <c r="R16" t="s">
        <v>92</v>
      </c>
      <c r="S16" t="s">
        <v>92</v>
      </c>
      <c r="T16" t="s">
        <v>92</v>
      </c>
      <c r="U16" t="s">
        <v>92</v>
      </c>
      <c r="V16" t="s">
        <v>92</v>
      </c>
      <c r="W16" t="s">
        <v>92</v>
      </c>
      <c r="X16" t="s">
        <v>92</v>
      </c>
      <c r="Y16" t="s">
        <v>92</v>
      </c>
      <c r="Z16" t="s">
        <v>92</v>
      </c>
      <c r="AA16" t="s">
        <v>92</v>
      </c>
      <c r="AB16" t="s">
        <v>92</v>
      </c>
      <c r="AC16" t="s">
        <v>92</v>
      </c>
      <c r="AD16" t="s">
        <v>92</v>
      </c>
      <c r="AE16" t="s">
        <v>92</v>
      </c>
      <c r="AF16" t="s">
        <v>92</v>
      </c>
      <c r="AG16" t="s">
        <v>92</v>
      </c>
      <c r="AH16" t="s">
        <v>92</v>
      </c>
      <c r="AI16" t="s">
        <v>92</v>
      </c>
      <c r="AJ16" t="s">
        <v>92</v>
      </c>
      <c r="AK16" t="s">
        <v>92</v>
      </c>
      <c r="AL16" t="s">
        <v>92</v>
      </c>
      <c r="AM16" t="s">
        <v>92</v>
      </c>
      <c r="AN16" t="s">
        <v>92</v>
      </c>
      <c r="AO16" t="s">
        <v>92</v>
      </c>
      <c r="AP16" t="s">
        <v>92</v>
      </c>
      <c r="AQ16" t="s">
        <v>92</v>
      </c>
      <c r="AR16" t="s">
        <v>92</v>
      </c>
      <c r="AS16" t="s">
        <v>92</v>
      </c>
      <c r="AT16" t="s">
        <v>92</v>
      </c>
      <c r="AU16" t="s">
        <v>92</v>
      </c>
      <c r="AV16" t="s">
        <v>92</v>
      </c>
      <c r="AW16" t="s">
        <v>92</v>
      </c>
      <c r="AX16" t="s">
        <v>92</v>
      </c>
      <c r="AY16" t="s">
        <v>92</v>
      </c>
    </row>
    <row r="17" spans="1:51" x14ac:dyDescent="0.25">
      <c r="A17" t="s">
        <v>21</v>
      </c>
      <c r="B17" t="s">
        <v>92</v>
      </c>
      <c r="C17" t="s">
        <v>92</v>
      </c>
      <c r="D17" t="s">
        <v>92</v>
      </c>
      <c r="E17" t="s">
        <v>92</v>
      </c>
      <c r="F17" t="s">
        <v>92</v>
      </c>
      <c r="G17" t="s">
        <v>92</v>
      </c>
      <c r="H17" t="s">
        <v>92</v>
      </c>
      <c r="I17" t="s">
        <v>92</v>
      </c>
      <c r="J17" t="s">
        <v>92</v>
      </c>
      <c r="K17" t="s">
        <v>92</v>
      </c>
      <c r="L17" t="s">
        <v>92</v>
      </c>
      <c r="M17" t="s">
        <v>92</v>
      </c>
      <c r="N17" t="s">
        <v>92</v>
      </c>
      <c r="O17" t="s">
        <v>92</v>
      </c>
      <c r="P17" t="s">
        <v>92</v>
      </c>
      <c r="Q17" t="s">
        <v>92</v>
      </c>
      <c r="R17" t="s">
        <v>92</v>
      </c>
      <c r="S17" t="s">
        <v>92</v>
      </c>
      <c r="T17" t="s">
        <v>92</v>
      </c>
      <c r="U17" t="s">
        <v>92</v>
      </c>
      <c r="V17" t="s">
        <v>92</v>
      </c>
      <c r="W17" t="s">
        <v>92</v>
      </c>
      <c r="X17" t="s">
        <v>92</v>
      </c>
      <c r="Y17" t="s">
        <v>92</v>
      </c>
      <c r="Z17" t="s">
        <v>92</v>
      </c>
      <c r="AA17" t="s">
        <v>92</v>
      </c>
      <c r="AB17" t="s">
        <v>92</v>
      </c>
      <c r="AC17" t="s">
        <v>92</v>
      </c>
      <c r="AD17" t="s">
        <v>92</v>
      </c>
      <c r="AE17" t="s">
        <v>92</v>
      </c>
      <c r="AF17" t="s">
        <v>92</v>
      </c>
      <c r="AG17" t="s">
        <v>92</v>
      </c>
      <c r="AH17" t="s">
        <v>92</v>
      </c>
      <c r="AI17" t="s">
        <v>92</v>
      </c>
      <c r="AJ17" t="s">
        <v>92</v>
      </c>
      <c r="AK17" t="s">
        <v>92</v>
      </c>
      <c r="AL17" t="s">
        <v>92</v>
      </c>
      <c r="AM17" t="s">
        <v>92</v>
      </c>
      <c r="AN17" t="s">
        <v>92</v>
      </c>
      <c r="AO17" t="s">
        <v>92</v>
      </c>
      <c r="AP17" t="s">
        <v>92</v>
      </c>
      <c r="AQ17" t="s">
        <v>92</v>
      </c>
      <c r="AR17" t="s">
        <v>92</v>
      </c>
      <c r="AS17" t="s">
        <v>92</v>
      </c>
      <c r="AT17" t="s">
        <v>92</v>
      </c>
      <c r="AU17" t="s">
        <v>92</v>
      </c>
      <c r="AV17" t="s">
        <v>92</v>
      </c>
      <c r="AW17" t="s">
        <v>92</v>
      </c>
      <c r="AX17" t="s">
        <v>92</v>
      </c>
      <c r="AY17" t="s">
        <v>92</v>
      </c>
    </row>
    <row r="18" spans="1:51" x14ac:dyDescent="0.25">
      <c r="A18" t="s">
        <v>22</v>
      </c>
      <c r="B18" t="s">
        <v>92</v>
      </c>
      <c r="C18" t="s">
        <v>92</v>
      </c>
      <c r="D18" t="s">
        <v>92</v>
      </c>
      <c r="E18" t="s">
        <v>92</v>
      </c>
      <c r="F18" t="s">
        <v>92</v>
      </c>
      <c r="G18" t="s">
        <v>92</v>
      </c>
      <c r="H18" t="s">
        <v>92</v>
      </c>
      <c r="I18" t="s">
        <v>92</v>
      </c>
      <c r="J18" t="s">
        <v>92</v>
      </c>
      <c r="K18" t="s">
        <v>92</v>
      </c>
      <c r="L18" t="s">
        <v>92</v>
      </c>
      <c r="M18" t="s">
        <v>92</v>
      </c>
      <c r="N18" t="s">
        <v>92</v>
      </c>
      <c r="O18" t="s">
        <v>92</v>
      </c>
      <c r="P18" t="s">
        <v>92</v>
      </c>
      <c r="Q18" t="s">
        <v>92</v>
      </c>
      <c r="R18" t="s">
        <v>92</v>
      </c>
      <c r="S18" t="s">
        <v>92</v>
      </c>
      <c r="T18" t="s">
        <v>92</v>
      </c>
      <c r="U18" t="s">
        <v>92</v>
      </c>
      <c r="V18" t="s">
        <v>92</v>
      </c>
      <c r="W18" t="s">
        <v>92</v>
      </c>
      <c r="X18" t="s">
        <v>92</v>
      </c>
      <c r="Y18" t="s">
        <v>92</v>
      </c>
      <c r="Z18" t="s">
        <v>92</v>
      </c>
      <c r="AA18" t="s">
        <v>92</v>
      </c>
      <c r="AB18" t="s">
        <v>92</v>
      </c>
      <c r="AC18" t="s">
        <v>92</v>
      </c>
      <c r="AD18" t="s">
        <v>92</v>
      </c>
      <c r="AE18" t="s">
        <v>92</v>
      </c>
      <c r="AF18" t="s">
        <v>92</v>
      </c>
      <c r="AG18" t="s">
        <v>92</v>
      </c>
      <c r="AH18" t="s">
        <v>92</v>
      </c>
      <c r="AI18" t="s">
        <v>92</v>
      </c>
      <c r="AJ18" t="s">
        <v>92</v>
      </c>
      <c r="AK18" t="s">
        <v>92</v>
      </c>
      <c r="AL18" t="s">
        <v>92</v>
      </c>
      <c r="AM18" t="s">
        <v>92</v>
      </c>
      <c r="AN18" t="s">
        <v>92</v>
      </c>
      <c r="AO18" t="s">
        <v>92</v>
      </c>
      <c r="AP18" t="s">
        <v>92</v>
      </c>
      <c r="AQ18" t="s">
        <v>92</v>
      </c>
      <c r="AR18" t="s">
        <v>92</v>
      </c>
      <c r="AS18" t="s">
        <v>92</v>
      </c>
      <c r="AT18" t="s">
        <v>92</v>
      </c>
      <c r="AU18" t="s">
        <v>92</v>
      </c>
      <c r="AV18" t="s">
        <v>92</v>
      </c>
      <c r="AW18" t="s">
        <v>92</v>
      </c>
      <c r="AX18" t="s">
        <v>92</v>
      </c>
      <c r="AY18" t="s">
        <v>92</v>
      </c>
    </row>
    <row r="19" spans="1:51" x14ac:dyDescent="0.25">
      <c r="A19" t="s">
        <v>23</v>
      </c>
      <c r="B19" t="s">
        <v>92</v>
      </c>
      <c r="C19" t="s">
        <v>92</v>
      </c>
      <c r="D19" t="s">
        <v>92</v>
      </c>
      <c r="E19" t="s">
        <v>92</v>
      </c>
      <c r="F19" t="s">
        <v>92</v>
      </c>
      <c r="G19" t="s">
        <v>92</v>
      </c>
      <c r="H19" t="s">
        <v>92</v>
      </c>
      <c r="I19" t="s">
        <v>92</v>
      </c>
      <c r="J19" t="s">
        <v>92</v>
      </c>
      <c r="K19" t="s">
        <v>92</v>
      </c>
      <c r="L19" t="s">
        <v>92</v>
      </c>
      <c r="M19" t="s">
        <v>92</v>
      </c>
      <c r="N19" t="s">
        <v>92</v>
      </c>
      <c r="O19" t="s">
        <v>92</v>
      </c>
      <c r="P19" t="s">
        <v>92</v>
      </c>
      <c r="Q19" t="s">
        <v>92</v>
      </c>
      <c r="R19" t="s">
        <v>92</v>
      </c>
      <c r="S19" t="s">
        <v>92</v>
      </c>
      <c r="T19" t="s">
        <v>92</v>
      </c>
      <c r="U19" t="s">
        <v>92</v>
      </c>
      <c r="V19" t="s">
        <v>92</v>
      </c>
      <c r="W19" t="s">
        <v>92</v>
      </c>
      <c r="X19" t="s">
        <v>92</v>
      </c>
      <c r="Y19" t="s">
        <v>92</v>
      </c>
      <c r="Z19" t="s">
        <v>92</v>
      </c>
      <c r="AA19" t="s">
        <v>92</v>
      </c>
      <c r="AB19" t="s">
        <v>92</v>
      </c>
      <c r="AC19" t="s">
        <v>92</v>
      </c>
      <c r="AD19" t="s">
        <v>92</v>
      </c>
      <c r="AE19" t="s">
        <v>92</v>
      </c>
      <c r="AF19" t="s">
        <v>92</v>
      </c>
      <c r="AG19" t="s">
        <v>92</v>
      </c>
      <c r="AH19" t="s">
        <v>92</v>
      </c>
      <c r="AI19" t="s">
        <v>92</v>
      </c>
      <c r="AJ19" t="s">
        <v>92</v>
      </c>
      <c r="AK19" t="s">
        <v>92</v>
      </c>
      <c r="AL19" t="s">
        <v>92</v>
      </c>
      <c r="AM19" t="s">
        <v>92</v>
      </c>
      <c r="AN19" t="s">
        <v>92</v>
      </c>
      <c r="AO19" t="s">
        <v>92</v>
      </c>
      <c r="AP19" t="s">
        <v>92</v>
      </c>
      <c r="AQ19" t="s">
        <v>92</v>
      </c>
      <c r="AR19" t="s">
        <v>92</v>
      </c>
      <c r="AS19" t="s">
        <v>92</v>
      </c>
      <c r="AT19" t="s">
        <v>92</v>
      </c>
      <c r="AU19" t="s">
        <v>92</v>
      </c>
      <c r="AV19" t="s">
        <v>92</v>
      </c>
      <c r="AW19" t="s">
        <v>92</v>
      </c>
      <c r="AX19" t="s">
        <v>92</v>
      </c>
      <c r="AY19" t="s">
        <v>92</v>
      </c>
    </row>
    <row r="20" spans="1:51" x14ac:dyDescent="0.25">
      <c r="A20" t="s">
        <v>24</v>
      </c>
      <c r="B20" t="s">
        <v>92</v>
      </c>
      <c r="C20" t="s">
        <v>92</v>
      </c>
      <c r="D20" t="s">
        <v>92</v>
      </c>
      <c r="E20" t="s">
        <v>92</v>
      </c>
      <c r="F20" t="s">
        <v>92</v>
      </c>
      <c r="G20" t="s">
        <v>92</v>
      </c>
      <c r="H20" t="s">
        <v>92</v>
      </c>
      <c r="I20" t="s">
        <v>92</v>
      </c>
      <c r="J20" t="s">
        <v>92</v>
      </c>
      <c r="K20" t="s">
        <v>92</v>
      </c>
      <c r="L20" t="s">
        <v>92</v>
      </c>
      <c r="M20" t="s">
        <v>92</v>
      </c>
      <c r="N20" t="s">
        <v>92</v>
      </c>
      <c r="O20" t="s">
        <v>92</v>
      </c>
      <c r="P20" t="s">
        <v>92</v>
      </c>
      <c r="Q20" t="s">
        <v>92</v>
      </c>
      <c r="R20" t="s">
        <v>92</v>
      </c>
      <c r="S20" t="s">
        <v>92</v>
      </c>
      <c r="T20" t="s">
        <v>92</v>
      </c>
      <c r="U20" t="s">
        <v>92</v>
      </c>
      <c r="V20" t="s">
        <v>92</v>
      </c>
      <c r="W20" t="s">
        <v>92</v>
      </c>
      <c r="X20" t="s">
        <v>92</v>
      </c>
      <c r="Y20" t="s">
        <v>92</v>
      </c>
      <c r="Z20" t="s">
        <v>92</v>
      </c>
      <c r="AA20" t="s">
        <v>92</v>
      </c>
      <c r="AB20" t="s">
        <v>92</v>
      </c>
      <c r="AC20" t="s">
        <v>92</v>
      </c>
      <c r="AD20" t="s">
        <v>92</v>
      </c>
      <c r="AE20" t="s">
        <v>92</v>
      </c>
      <c r="AF20" t="s">
        <v>92</v>
      </c>
      <c r="AG20" t="s">
        <v>92</v>
      </c>
      <c r="AH20" t="s">
        <v>92</v>
      </c>
      <c r="AI20" t="s">
        <v>92</v>
      </c>
      <c r="AJ20" t="s">
        <v>92</v>
      </c>
      <c r="AK20" t="s">
        <v>92</v>
      </c>
      <c r="AL20" t="s">
        <v>92</v>
      </c>
      <c r="AM20" t="s">
        <v>92</v>
      </c>
      <c r="AN20" t="s">
        <v>92</v>
      </c>
      <c r="AO20" t="s">
        <v>92</v>
      </c>
      <c r="AP20" t="s">
        <v>92</v>
      </c>
      <c r="AQ20" t="s">
        <v>92</v>
      </c>
      <c r="AR20" t="s">
        <v>92</v>
      </c>
      <c r="AS20" t="s">
        <v>92</v>
      </c>
      <c r="AT20" t="s">
        <v>92</v>
      </c>
      <c r="AU20" t="s">
        <v>92</v>
      </c>
      <c r="AV20" t="s">
        <v>92</v>
      </c>
      <c r="AW20" t="s">
        <v>92</v>
      </c>
      <c r="AX20" t="s">
        <v>92</v>
      </c>
      <c r="AY20" t="s">
        <v>92</v>
      </c>
    </row>
    <row r="21" spans="1:51" x14ac:dyDescent="0.25">
      <c r="A21" t="s">
        <v>25</v>
      </c>
      <c r="B21" s="1">
        <v>21246</v>
      </c>
      <c r="C21" s="1">
        <v>23543</v>
      </c>
      <c r="D21" s="1">
        <v>23106</v>
      </c>
      <c r="E21" s="1">
        <v>25293</v>
      </c>
      <c r="F21" s="1">
        <v>25826</v>
      </c>
      <c r="G21" s="1">
        <v>27761</v>
      </c>
      <c r="H21" s="1">
        <v>30538</v>
      </c>
      <c r="I21" s="1">
        <v>35167</v>
      </c>
      <c r="J21" s="1">
        <v>37357</v>
      </c>
      <c r="K21" s="1">
        <v>36879</v>
      </c>
      <c r="L21" s="1">
        <v>36159</v>
      </c>
      <c r="M21" s="1">
        <v>36744</v>
      </c>
      <c r="N21" s="1">
        <v>40049</v>
      </c>
      <c r="O21" s="1">
        <v>39771</v>
      </c>
      <c r="P21" s="1">
        <v>42315</v>
      </c>
      <c r="Q21" s="1">
        <v>47887</v>
      </c>
      <c r="R21" s="1">
        <v>42974</v>
      </c>
      <c r="S21" s="1">
        <v>48049</v>
      </c>
      <c r="T21" s="1">
        <v>50726</v>
      </c>
      <c r="U21" s="1">
        <v>53374</v>
      </c>
      <c r="V21" s="1">
        <v>59276</v>
      </c>
      <c r="W21" s="1">
        <v>49864</v>
      </c>
      <c r="X21" s="1">
        <v>58354</v>
      </c>
      <c r="Y21" s="1">
        <v>61225</v>
      </c>
      <c r="Z21" s="1">
        <v>62761</v>
      </c>
      <c r="AA21" s="1">
        <v>69707</v>
      </c>
      <c r="AB21" s="1">
        <v>68117</v>
      </c>
      <c r="AC21" s="1">
        <v>66937</v>
      </c>
      <c r="AD21" s="1">
        <v>69533</v>
      </c>
      <c r="AE21" s="1">
        <v>70861</v>
      </c>
      <c r="AF21" s="1">
        <v>72890</v>
      </c>
      <c r="AG21" s="1">
        <v>81337</v>
      </c>
      <c r="AH21" s="1">
        <v>80414</v>
      </c>
      <c r="AI21" s="1">
        <v>83908</v>
      </c>
      <c r="AJ21" s="1">
        <v>84936</v>
      </c>
      <c r="AK21" s="1">
        <v>82011</v>
      </c>
      <c r="AL21" s="1">
        <v>83616</v>
      </c>
      <c r="AM21" s="1">
        <v>87750</v>
      </c>
      <c r="AN21" s="1">
        <v>91641</v>
      </c>
      <c r="AO21" s="1">
        <v>99946</v>
      </c>
      <c r="AP21" s="1">
        <v>105413</v>
      </c>
      <c r="AQ21" s="1">
        <v>101901</v>
      </c>
      <c r="AR21" s="1">
        <v>107483</v>
      </c>
      <c r="AS21" s="1">
        <v>110657</v>
      </c>
      <c r="AT21" s="1">
        <v>111995</v>
      </c>
      <c r="AU21" s="1">
        <v>102043</v>
      </c>
      <c r="AV21" s="1">
        <v>110523</v>
      </c>
      <c r="AW21" s="1">
        <v>118742</v>
      </c>
      <c r="AX21" s="1">
        <v>125889</v>
      </c>
      <c r="AY21" s="1">
        <v>128919</v>
      </c>
    </row>
    <row r="22" spans="1:51" x14ac:dyDescent="0.25">
      <c r="A22" t="s">
        <v>26</v>
      </c>
      <c r="B22" t="s">
        <v>92</v>
      </c>
      <c r="C22" t="s">
        <v>92</v>
      </c>
      <c r="D22" t="s">
        <v>92</v>
      </c>
      <c r="E22" t="s">
        <v>92</v>
      </c>
      <c r="F22" t="s">
        <v>92</v>
      </c>
      <c r="G22" t="s">
        <v>92</v>
      </c>
      <c r="H22" t="s">
        <v>92</v>
      </c>
      <c r="I22" t="s">
        <v>92</v>
      </c>
      <c r="J22" t="s">
        <v>92</v>
      </c>
      <c r="K22" t="s">
        <v>92</v>
      </c>
      <c r="L22" t="s">
        <v>92</v>
      </c>
      <c r="M22" t="s">
        <v>92</v>
      </c>
      <c r="N22" t="s">
        <v>92</v>
      </c>
      <c r="O22" t="s">
        <v>92</v>
      </c>
      <c r="P22" t="s">
        <v>92</v>
      </c>
      <c r="Q22" t="s">
        <v>92</v>
      </c>
      <c r="R22" t="s">
        <v>92</v>
      </c>
      <c r="S22" t="s">
        <v>92</v>
      </c>
      <c r="T22" t="s">
        <v>92</v>
      </c>
      <c r="U22" t="s">
        <v>92</v>
      </c>
      <c r="V22" t="s">
        <v>92</v>
      </c>
      <c r="W22" t="s">
        <v>92</v>
      </c>
      <c r="X22" t="s">
        <v>92</v>
      </c>
      <c r="Y22" t="s">
        <v>92</v>
      </c>
      <c r="Z22" t="s">
        <v>92</v>
      </c>
      <c r="AA22" t="s">
        <v>92</v>
      </c>
      <c r="AB22" t="s">
        <v>92</v>
      </c>
      <c r="AC22" t="s">
        <v>92</v>
      </c>
      <c r="AD22" t="s">
        <v>92</v>
      </c>
      <c r="AE22" t="s">
        <v>92</v>
      </c>
      <c r="AF22" t="s">
        <v>92</v>
      </c>
      <c r="AG22" t="s">
        <v>92</v>
      </c>
      <c r="AH22" t="s">
        <v>92</v>
      </c>
      <c r="AI22" t="s">
        <v>92</v>
      </c>
      <c r="AJ22" t="s">
        <v>92</v>
      </c>
      <c r="AK22" t="s">
        <v>92</v>
      </c>
      <c r="AL22" t="s">
        <v>92</v>
      </c>
      <c r="AM22" t="s">
        <v>92</v>
      </c>
      <c r="AN22" t="s">
        <v>92</v>
      </c>
      <c r="AO22" t="s">
        <v>92</v>
      </c>
      <c r="AP22" t="s">
        <v>92</v>
      </c>
      <c r="AQ22" t="s">
        <v>92</v>
      </c>
      <c r="AR22" t="s">
        <v>92</v>
      </c>
      <c r="AS22" t="s">
        <v>92</v>
      </c>
      <c r="AT22" t="s">
        <v>92</v>
      </c>
      <c r="AU22" t="s">
        <v>92</v>
      </c>
      <c r="AV22" t="s">
        <v>92</v>
      </c>
      <c r="AW22" t="s">
        <v>92</v>
      </c>
      <c r="AX22" t="s">
        <v>92</v>
      </c>
      <c r="AY22" t="s">
        <v>92</v>
      </c>
    </row>
    <row r="23" spans="1:51" x14ac:dyDescent="0.25">
      <c r="A23" t="s">
        <v>27</v>
      </c>
      <c r="B23" t="s">
        <v>92</v>
      </c>
      <c r="C23" t="s">
        <v>92</v>
      </c>
      <c r="D23" t="s">
        <v>92</v>
      </c>
      <c r="E23" t="s">
        <v>92</v>
      </c>
      <c r="F23" t="s">
        <v>92</v>
      </c>
      <c r="G23" t="s">
        <v>92</v>
      </c>
      <c r="H23" t="s">
        <v>92</v>
      </c>
      <c r="I23" t="s">
        <v>92</v>
      </c>
      <c r="J23" t="s">
        <v>92</v>
      </c>
      <c r="K23" t="s">
        <v>92</v>
      </c>
      <c r="L23" t="s">
        <v>92</v>
      </c>
      <c r="M23" t="s">
        <v>92</v>
      </c>
      <c r="N23" t="s">
        <v>92</v>
      </c>
      <c r="O23" t="s">
        <v>92</v>
      </c>
      <c r="P23" t="s">
        <v>92</v>
      </c>
      <c r="Q23" t="s">
        <v>92</v>
      </c>
      <c r="R23" t="s">
        <v>92</v>
      </c>
      <c r="S23" t="s">
        <v>92</v>
      </c>
      <c r="T23" t="s">
        <v>92</v>
      </c>
      <c r="U23" t="s">
        <v>92</v>
      </c>
      <c r="V23" t="s">
        <v>92</v>
      </c>
      <c r="W23" t="s">
        <v>92</v>
      </c>
      <c r="X23" t="s">
        <v>92</v>
      </c>
      <c r="Y23" t="s">
        <v>92</v>
      </c>
      <c r="Z23" t="s">
        <v>92</v>
      </c>
      <c r="AA23" t="s">
        <v>92</v>
      </c>
      <c r="AB23" t="s">
        <v>92</v>
      </c>
      <c r="AC23" t="s">
        <v>92</v>
      </c>
      <c r="AD23" t="s">
        <v>92</v>
      </c>
      <c r="AE23" t="s">
        <v>92</v>
      </c>
      <c r="AF23" t="s">
        <v>92</v>
      </c>
      <c r="AG23" t="s">
        <v>92</v>
      </c>
      <c r="AH23" t="s">
        <v>92</v>
      </c>
      <c r="AI23" t="s">
        <v>92</v>
      </c>
      <c r="AJ23" t="s">
        <v>92</v>
      </c>
      <c r="AK23" t="s">
        <v>92</v>
      </c>
      <c r="AL23" t="s">
        <v>92</v>
      </c>
      <c r="AM23" t="s">
        <v>92</v>
      </c>
      <c r="AN23" t="s">
        <v>92</v>
      </c>
      <c r="AO23" t="s">
        <v>92</v>
      </c>
      <c r="AP23" t="s">
        <v>92</v>
      </c>
      <c r="AQ23" t="s">
        <v>92</v>
      </c>
      <c r="AR23" t="s">
        <v>92</v>
      </c>
      <c r="AS23" t="s">
        <v>92</v>
      </c>
      <c r="AT23" t="s">
        <v>92</v>
      </c>
      <c r="AU23" t="s">
        <v>92</v>
      </c>
      <c r="AV23" t="s">
        <v>92</v>
      </c>
      <c r="AW23" t="s">
        <v>92</v>
      </c>
      <c r="AX23" t="s">
        <v>92</v>
      </c>
      <c r="AY23" t="s">
        <v>92</v>
      </c>
    </row>
    <row r="24" spans="1:51" x14ac:dyDescent="0.25">
      <c r="A24" t="s">
        <v>28</v>
      </c>
      <c r="B24" t="s">
        <v>92</v>
      </c>
      <c r="C24" t="s">
        <v>92</v>
      </c>
      <c r="D24" t="s">
        <v>92</v>
      </c>
      <c r="E24" t="s">
        <v>92</v>
      </c>
      <c r="F24" t="s">
        <v>92</v>
      </c>
      <c r="G24" t="s">
        <v>92</v>
      </c>
      <c r="H24" t="s">
        <v>92</v>
      </c>
      <c r="I24" t="s">
        <v>92</v>
      </c>
      <c r="J24" t="s">
        <v>92</v>
      </c>
      <c r="K24" t="s">
        <v>92</v>
      </c>
      <c r="L24" t="s">
        <v>92</v>
      </c>
      <c r="M24" t="s">
        <v>92</v>
      </c>
      <c r="N24" t="s">
        <v>92</v>
      </c>
      <c r="O24" t="s">
        <v>92</v>
      </c>
      <c r="P24" t="s">
        <v>92</v>
      </c>
      <c r="Q24" t="s">
        <v>92</v>
      </c>
      <c r="R24" t="s">
        <v>92</v>
      </c>
      <c r="S24" t="s">
        <v>92</v>
      </c>
      <c r="T24" t="s">
        <v>92</v>
      </c>
      <c r="U24" t="s">
        <v>92</v>
      </c>
      <c r="V24" t="s">
        <v>92</v>
      </c>
      <c r="W24" t="s">
        <v>92</v>
      </c>
      <c r="X24" t="s">
        <v>92</v>
      </c>
      <c r="Y24" t="s">
        <v>92</v>
      </c>
      <c r="Z24" t="s">
        <v>92</v>
      </c>
      <c r="AA24" t="s">
        <v>92</v>
      </c>
      <c r="AB24" t="s">
        <v>92</v>
      </c>
      <c r="AC24" t="s">
        <v>92</v>
      </c>
      <c r="AD24" t="s">
        <v>92</v>
      </c>
      <c r="AE24" t="s">
        <v>92</v>
      </c>
      <c r="AF24" t="s">
        <v>92</v>
      </c>
      <c r="AG24" t="s">
        <v>92</v>
      </c>
      <c r="AH24" t="s">
        <v>92</v>
      </c>
      <c r="AI24" t="s">
        <v>92</v>
      </c>
      <c r="AJ24" t="s">
        <v>92</v>
      </c>
      <c r="AK24" t="s">
        <v>92</v>
      </c>
      <c r="AL24" t="s">
        <v>92</v>
      </c>
      <c r="AM24" t="s">
        <v>92</v>
      </c>
      <c r="AN24" t="s">
        <v>92</v>
      </c>
      <c r="AO24" t="s">
        <v>92</v>
      </c>
      <c r="AP24" t="s">
        <v>92</v>
      </c>
      <c r="AQ24" t="s">
        <v>92</v>
      </c>
      <c r="AR24" t="s">
        <v>92</v>
      </c>
      <c r="AS24" t="s">
        <v>92</v>
      </c>
      <c r="AT24" t="s">
        <v>92</v>
      </c>
      <c r="AU24" t="s">
        <v>92</v>
      </c>
      <c r="AV24" t="s">
        <v>92</v>
      </c>
      <c r="AW24" t="s">
        <v>92</v>
      </c>
      <c r="AX24" t="s">
        <v>92</v>
      </c>
      <c r="AY24" t="s">
        <v>92</v>
      </c>
    </row>
    <row r="25" spans="1:51" x14ac:dyDescent="0.25">
      <c r="A25" t="s">
        <v>29</v>
      </c>
      <c r="B25" t="s">
        <v>92</v>
      </c>
      <c r="C25" t="s">
        <v>92</v>
      </c>
      <c r="D25" t="s">
        <v>92</v>
      </c>
      <c r="E25" t="s">
        <v>92</v>
      </c>
      <c r="F25" t="s">
        <v>92</v>
      </c>
      <c r="G25" t="s">
        <v>92</v>
      </c>
      <c r="H25" t="s">
        <v>92</v>
      </c>
      <c r="I25" t="s">
        <v>92</v>
      </c>
      <c r="J25" t="s">
        <v>92</v>
      </c>
      <c r="K25" t="s">
        <v>92</v>
      </c>
      <c r="L25" t="s">
        <v>92</v>
      </c>
      <c r="M25" t="s">
        <v>92</v>
      </c>
      <c r="N25" t="s">
        <v>92</v>
      </c>
      <c r="O25" t="s">
        <v>92</v>
      </c>
      <c r="P25" t="s">
        <v>92</v>
      </c>
      <c r="Q25" t="s">
        <v>92</v>
      </c>
      <c r="R25" t="s">
        <v>92</v>
      </c>
      <c r="S25" t="s">
        <v>92</v>
      </c>
      <c r="T25" t="s">
        <v>92</v>
      </c>
      <c r="U25" t="s">
        <v>92</v>
      </c>
      <c r="V25" t="s">
        <v>92</v>
      </c>
      <c r="W25" t="s">
        <v>92</v>
      </c>
      <c r="X25" t="s">
        <v>92</v>
      </c>
      <c r="Y25" t="s">
        <v>92</v>
      </c>
      <c r="Z25" t="s">
        <v>92</v>
      </c>
      <c r="AA25" t="s">
        <v>92</v>
      </c>
      <c r="AB25" t="s">
        <v>92</v>
      </c>
      <c r="AC25" t="s">
        <v>92</v>
      </c>
      <c r="AD25" t="s">
        <v>92</v>
      </c>
      <c r="AE25" t="s">
        <v>92</v>
      </c>
      <c r="AF25" t="s">
        <v>92</v>
      </c>
      <c r="AG25" t="s">
        <v>92</v>
      </c>
      <c r="AH25" t="s">
        <v>92</v>
      </c>
      <c r="AI25" t="s">
        <v>92</v>
      </c>
      <c r="AJ25" t="s">
        <v>92</v>
      </c>
      <c r="AK25" t="s">
        <v>92</v>
      </c>
      <c r="AL25" t="s">
        <v>92</v>
      </c>
      <c r="AM25" t="s">
        <v>92</v>
      </c>
      <c r="AN25" t="s">
        <v>92</v>
      </c>
      <c r="AO25" t="s">
        <v>92</v>
      </c>
      <c r="AP25" t="s">
        <v>92</v>
      </c>
      <c r="AQ25" t="s">
        <v>92</v>
      </c>
      <c r="AR25" t="s">
        <v>92</v>
      </c>
      <c r="AS25" t="s">
        <v>92</v>
      </c>
      <c r="AT25" t="s">
        <v>92</v>
      </c>
      <c r="AU25" t="s">
        <v>92</v>
      </c>
      <c r="AV25" t="s">
        <v>92</v>
      </c>
      <c r="AW25" t="s">
        <v>92</v>
      </c>
      <c r="AX25" t="s">
        <v>92</v>
      </c>
      <c r="AY25" t="s">
        <v>92</v>
      </c>
    </row>
    <row r="26" spans="1:51" x14ac:dyDescent="0.25">
      <c r="A26" t="s">
        <v>30</v>
      </c>
      <c r="B26" t="s">
        <v>92</v>
      </c>
      <c r="C26" t="s">
        <v>92</v>
      </c>
      <c r="D26" t="s">
        <v>92</v>
      </c>
      <c r="E26" t="s">
        <v>92</v>
      </c>
      <c r="F26" t="s">
        <v>92</v>
      </c>
      <c r="G26" t="s">
        <v>92</v>
      </c>
      <c r="H26" t="s">
        <v>92</v>
      </c>
      <c r="I26" t="s">
        <v>92</v>
      </c>
      <c r="J26" t="s">
        <v>92</v>
      </c>
      <c r="K26" t="s">
        <v>92</v>
      </c>
      <c r="L26" t="s">
        <v>92</v>
      </c>
      <c r="M26" t="s">
        <v>92</v>
      </c>
      <c r="N26" t="s">
        <v>92</v>
      </c>
      <c r="O26" t="s">
        <v>92</v>
      </c>
      <c r="P26" t="s">
        <v>92</v>
      </c>
      <c r="Q26" t="s">
        <v>92</v>
      </c>
      <c r="R26" t="s">
        <v>92</v>
      </c>
      <c r="S26" t="s">
        <v>92</v>
      </c>
      <c r="T26" t="s">
        <v>92</v>
      </c>
      <c r="U26" t="s">
        <v>92</v>
      </c>
      <c r="V26" t="s">
        <v>92</v>
      </c>
      <c r="W26" t="s">
        <v>92</v>
      </c>
      <c r="X26" t="s">
        <v>92</v>
      </c>
      <c r="Y26" t="s">
        <v>92</v>
      </c>
      <c r="Z26" t="s">
        <v>92</v>
      </c>
      <c r="AA26" t="s">
        <v>92</v>
      </c>
      <c r="AB26" t="s">
        <v>92</v>
      </c>
      <c r="AC26" t="s">
        <v>92</v>
      </c>
      <c r="AD26" t="s">
        <v>92</v>
      </c>
      <c r="AE26" t="s">
        <v>92</v>
      </c>
      <c r="AF26" t="s">
        <v>92</v>
      </c>
      <c r="AG26" t="s">
        <v>92</v>
      </c>
      <c r="AH26" t="s">
        <v>92</v>
      </c>
      <c r="AI26" t="s">
        <v>92</v>
      </c>
      <c r="AJ26" t="s">
        <v>92</v>
      </c>
      <c r="AK26" t="s">
        <v>92</v>
      </c>
      <c r="AL26" t="s">
        <v>92</v>
      </c>
      <c r="AM26" t="s">
        <v>92</v>
      </c>
      <c r="AN26" t="s">
        <v>92</v>
      </c>
      <c r="AO26" t="s">
        <v>92</v>
      </c>
      <c r="AP26" t="s">
        <v>92</v>
      </c>
      <c r="AQ26" t="s">
        <v>92</v>
      </c>
      <c r="AR26" t="s">
        <v>92</v>
      </c>
      <c r="AS26" t="s">
        <v>92</v>
      </c>
      <c r="AT26" t="s">
        <v>92</v>
      </c>
      <c r="AU26" t="s">
        <v>92</v>
      </c>
      <c r="AV26" t="s">
        <v>92</v>
      </c>
      <c r="AW26" t="s">
        <v>92</v>
      </c>
      <c r="AX26" t="s">
        <v>92</v>
      </c>
      <c r="AY26" t="s">
        <v>92</v>
      </c>
    </row>
    <row r="27" spans="1:51" x14ac:dyDescent="0.25">
      <c r="A27" t="s">
        <v>31</v>
      </c>
      <c r="B27" t="s">
        <v>92</v>
      </c>
      <c r="C27" t="s">
        <v>92</v>
      </c>
      <c r="D27" t="s">
        <v>92</v>
      </c>
      <c r="E27" t="s">
        <v>92</v>
      </c>
      <c r="F27" t="s">
        <v>92</v>
      </c>
      <c r="G27" t="s">
        <v>92</v>
      </c>
      <c r="H27" t="s">
        <v>92</v>
      </c>
      <c r="I27" t="s">
        <v>92</v>
      </c>
      <c r="J27" t="s">
        <v>92</v>
      </c>
      <c r="K27" t="s">
        <v>92</v>
      </c>
      <c r="L27" t="s">
        <v>92</v>
      </c>
      <c r="M27" t="s">
        <v>92</v>
      </c>
      <c r="N27" t="s">
        <v>92</v>
      </c>
      <c r="O27" t="s">
        <v>92</v>
      </c>
      <c r="P27" t="s">
        <v>92</v>
      </c>
      <c r="Q27" t="s">
        <v>92</v>
      </c>
      <c r="R27" t="s">
        <v>92</v>
      </c>
      <c r="S27" t="s">
        <v>92</v>
      </c>
      <c r="T27" t="s">
        <v>92</v>
      </c>
      <c r="U27" t="s">
        <v>92</v>
      </c>
      <c r="V27" t="s">
        <v>92</v>
      </c>
      <c r="W27" t="s">
        <v>92</v>
      </c>
      <c r="X27" t="s">
        <v>92</v>
      </c>
      <c r="Y27" t="s">
        <v>92</v>
      </c>
      <c r="Z27" t="s">
        <v>92</v>
      </c>
      <c r="AA27" t="s">
        <v>92</v>
      </c>
      <c r="AB27" t="s">
        <v>92</v>
      </c>
      <c r="AC27" t="s">
        <v>92</v>
      </c>
      <c r="AD27" t="s">
        <v>92</v>
      </c>
      <c r="AE27" t="s">
        <v>92</v>
      </c>
      <c r="AF27" t="s">
        <v>92</v>
      </c>
      <c r="AG27" t="s">
        <v>92</v>
      </c>
      <c r="AH27" t="s">
        <v>92</v>
      </c>
      <c r="AI27" t="s">
        <v>92</v>
      </c>
      <c r="AJ27" t="s">
        <v>92</v>
      </c>
      <c r="AK27" t="s">
        <v>92</v>
      </c>
      <c r="AL27" t="s">
        <v>92</v>
      </c>
      <c r="AM27" t="s">
        <v>92</v>
      </c>
      <c r="AN27" t="s">
        <v>92</v>
      </c>
      <c r="AO27" t="s">
        <v>92</v>
      </c>
      <c r="AP27" t="s">
        <v>92</v>
      </c>
      <c r="AQ27" t="s">
        <v>92</v>
      </c>
      <c r="AR27" t="s">
        <v>92</v>
      </c>
      <c r="AS27" t="s">
        <v>92</v>
      </c>
      <c r="AT27" t="s">
        <v>92</v>
      </c>
      <c r="AU27" t="s">
        <v>92</v>
      </c>
      <c r="AV27" t="s">
        <v>92</v>
      </c>
      <c r="AW27" t="s">
        <v>92</v>
      </c>
      <c r="AX27" t="s">
        <v>92</v>
      </c>
      <c r="AY27" t="s">
        <v>92</v>
      </c>
    </row>
    <row r="28" spans="1:51" x14ac:dyDescent="0.25">
      <c r="A28" t="s">
        <v>32</v>
      </c>
      <c r="B28" t="s">
        <v>92</v>
      </c>
      <c r="C28" t="s">
        <v>92</v>
      </c>
      <c r="D28" t="s">
        <v>92</v>
      </c>
      <c r="E28" t="s">
        <v>92</v>
      </c>
      <c r="F28" t="s">
        <v>92</v>
      </c>
      <c r="G28" t="s">
        <v>92</v>
      </c>
      <c r="H28" t="s">
        <v>92</v>
      </c>
      <c r="I28" t="s">
        <v>92</v>
      </c>
      <c r="J28" t="s">
        <v>92</v>
      </c>
      <c r="K28" t="s">
        <v>92</v>
      </c>
      <c r="L28" t="s">
        <v>92</v>
      </c>
      <c r="M28" t="s">
        <v>92</v>
      </c>
      <c r="N28" t="s">
        <v>92</v>
      </c>
      <c r="O28" t="s">
        <v>92</v>
      </c>
      <c r="P28" t="s">
        <v>92</v>
      </c>
      <c r="Q28" t="s">
        <v>92</v>
      </c>
      <c r="R28" t="s">
        <v>92</v>
      </c>
      <c r="S28" t="s">
        <v>92</v>
      </c>
      <c r="T28" t="s">
        <v>92</v>
      </c>
      <c r="U28" t="s">
        <v>92</v>
      </c>
      <c r="V28" t="s">
        <v>92</v>
      </c>
      <c r="W28" t="s">
        <v>92</v>
      </c>
      <c r="X28" t="s">
        <v>92</v>
      </c>
      <c r="Y28" t="s">
        <v>92</v>
      </c>
      <c r="Z28" t="s">
        <v>92</v>
      </c>
      <c r="AA28" t="s">
        <v>92</v>
      </c>
      <c r="AB28" t="s">
        <v>92</v>
      </c>
      <c r="AC28" t="s">
        <v>92</v>
      </c>
      <c r="AD28" t="s">
        <v>92</v>
      </c>
      <c r="AE28" t="s">
        <v>92</v>
      </c>
      <c r="AF28" t="s">
        <v>92</v>
      </c>
      <c r="AG28" t="s">
        <v>92</v>
      </c>
      <c r="AH28" t="s">
        <v>92</v>
      </c>
      <c r="AI28" t="s">
        <v>92</v>
      </c>
      <c r="AJ28" t="s">
        <v>92</v>
      </c>
      <c r="AK28" t="s">
        <v>92</v>
      </c>
      <c r="AL28" t="s">
        <v>92</v>
      </c>
      <c r="AM28" t="s">
        <v>92</v>
      </c>
      <c r="AN28" t="s">
        <v>92</v>
      </c>
      <c r="AO28" t="s">
        <v>92</v>
      </c>
      <c r="AP28" t="s">
        <v>92</v>
      </c>
      <c r="AQ28" t="s">
        <v>92</v>
      </c>
      <c r="AR28" t="s">
        <v>92</v>
      </c>
      <c r="AS28" t="s">
        <v>92</v>
      </c>
      <c r="AT28" t="s">
        <v>92</v>
      </c>
      <c r="AU28" t="s">
        <v>92</v>
      </c>
      <c r="AV28" t="s">
        <v>92</v>
      </c>
      <c r="AW28" t="s">
        <v>92</v>
      </c>
      <c r="AX28" t="s">
        <v>92</v>
      </c>
      <c r="AY28" t="s">
        <v>92</v>
      </c>
    </row>
    <row r="29" spans="1:51" x14ac:dyDescent="0.25">
      <c r="A29" t="s">
        <v>33</v>
      </c>
      <c r="B29" t="s">
        <v>92</v>
      </c>
      <c r="C29" t="s">
        <v>92</v>
      </c>
      <c r="D29" t="s">
        <v>92</v>
      </c>
      <c r="E29" t="s">
        <v>92</v>
      </c>
      <c r="F29" t="s">
        <v>92</v>
      </c>
      <c r="G29" t="s">
        <v>92</v>
      </c>
      <c r="H29" t="s">
        <v>92</v>
      </c>
      <c r="I29" t="s">
        <v>92</v>
      </c>
      <c r="J29" t="s">
        <v>92</v>
      </c>
      <c r="K29" t="s">
        <v>92</v>
      </c>
      <c r="L29" t="s">
        <v>92</v>
      </c>
      <c r="M29" t="s">
        <v>92</v>
      </c>
      <c r="N29" t="s">
        <v>92</v>
      </c>
      <c r="O29" t="s">
        <v>92</v>
      </c>
      <c r="P29" t="s">
        <v>92</v>
      </c>
      <c r="Q29" t="s">
        <v>92</v>
      </c>
      <c r="R29" t="s">
        <v>92</v>
      </c>
      <c r="S29" t="s">
        <v>92</v>
      </c>
      <c r="T29" t="s">
        <v>92</v>
      </c>
      <c r="U29" t="s">
        <v>92</v>
      </c>
      <c r="V29" t="s">
        <v>92</v>
      </c>
      <c r="W29" t="s">
        <v>92</v>
      </c>
      <c r="X29" t="s">
        <v>92</v>
      </c>
      <c r="Y29" t="s">
        <v>92</v>
      </c>
      <c r="Z29" t="s">
        <v>92</v>
      </c>
      <c r="AA29" t="s">
        <v>92</v>
      </c>
      <c r="AB29" t="s">
        <v>92</v>
      </c>
      <c r="AC29" t="s">
        <v>92</v>
      </c>
      <c r="AD29" t="s">
        <v>92</v>
      </c>
      <c r="AE29" t="s">
        <v>92</v>
      </c>
      <c r="AF29" t="s">
        <v>92</v>
      </c>
      <c r="AG29" t="s">
        <v>92</v>
      </c>
      <c r="AH29" t="s">
        <v>92</v>
      </c>
      <c r="AI29" t="s">
        <v>92</v>
      </c>
      <c r="AJ29" t="s">
        <v>92</v>
      </c>
      <c r="AK29" t="s">
        <v>92</v>
      </c>
      <c r="AL29" t="s">
        <v>92</v>
      </c>
      <c r="AM29" t="s">
        <v>92</v>
      </c>
      <c r="AN29" t="s">
        <v>92</v>
      </c>
      <c r="AO29" t="s">
        <v>92</v>
      </c>
      <c r="AP29" t="s">
        <v>92</v>
      </c>
      <c r="AQ29" t="s">
        <v>92</v>
      </c>
      <c r="AR29" t="s">
        <v>92</v>
      </c>
      <c r="AS29" t="s">
        <v>92</v>
      </c>
      <c r="AT29" t="s">
        <v>92</v>
      </c>
      <c r="AU29" t="s">
        <v>92</v>
      </c>
      <c r="AV29" t="s">
        <v>92</v>
      </c>
      <c r="AW29" t="s">
        <v>92</v>
      </c>
      <c r="AX29" t="s">
        <v>92</v>
      </c>
      <c r="AY29" t="s">
        <v>92</v>
      </c>
    </row>
    <row r="30" spans="1:51" x14ac:dyDescent="0.25">
      <c r="A30" t="s">
        <v>34</v>
      </c>
      <c r="B30" t="s">
        <v>92</v>
      </c>
      <c r="C30" t="s">
        <v>92</v>
      </c>
      <c r="D30" t="s">
        <v>92</v>
      </c>
      <c r="E30" t="s">
        <v>92</v>
      </c>
      <c r="F30" t="s">
        <v>92</v>
      </c>
      <c r="G30" t="s">
        <v>92</v>
      </c>
      <c r="H30" t="s">
        <v>92</v>
      </c>
      <c r="I30" t="s">
        <v>92</v>
      </c>
      <c r="J30" t="s">
        <v>92</v>
      </c>
      <c r="K30" t="s">
        <v>92</v>
      </c>
      <c r="L30" t="s">
        <v>92</v>
      </c>
      <c r="M30" t="s">
        <v>92</v>
      </c>
      <c r="N30" t="s">
        <v>92</v>
      </c>
      <c r="O30" t="s">
        <v>92</v>
      </c>
      <c r="P30" t="s">
        <v>92</v>
      </c>
      <c r="Q30" t="s">
        <v>92</v>
      </c>
      <c r="R30" t="s">
        <v>92</v>
      </c>
      <c r="S30" t="s">
        <v>92</v>
      </c>
      <c r="T30" t="s">
        <v>92</v>
      </c>
      <c r="U30" t="s">
        <v>92</v>
      </c>
      <c r="V30" t="s">
        <v>92</v>
      </c>
      <c r="W30" t="s">
        <v>92</v>
      </c>
      <c r="X30" t="s">
        <v>92</v>
      </c>
      <c r="Y30" t="s">
        <v>92</v>
      </c>
      <c r="Z30" t="s">
        <v>92</v>
      </c>
      <c r="AA30" t="s">
        <v>92</v>
      </c>
      <c r="AB30" t="s">
        <v>92</v>
      </c>
      <c r="AC30" t="s">
        <v>92</v>
      </c>
      <c r="AD30" t="s">
        <v>92</v>
      </c>
      <c r="AE30" t="s">
        <v>92</v>
      </c>
      <c r="AF30" t="s">
        <v>92</v>
      </c>
      <c r="AG30" t="s">
        <v>92</v>
      </c>
      <c r="AH30" t="s">
        <v>92</v>
      </c>
      <c r="AI30" t="s">
        <v>92</v>
      </c>
      <c r="AJ30" t="s">
        <v>92</v>
      </c>
      <c r="AK30" t="s">
        <v>92</v>
      </c>
      <c r="AL30" t="s">
        <v>92</v>
      </c>
      <c r="AM30" t="s">
        <v>92</v>
      </c>
      <c r="AN30" t="s">
        <v>92</v>
      </c>
      <c r="AO30" t="s">
        <v>92</v>
      </c>
      <c r="AP30" t="s">
        <v>92</v>
      </c>
      <c r="AQ30" t="s">
        <v>92</v>
      </c>
      <c r="AR30" t="s">
        <v>92</v>
      </c>
      <c r="AS30" t="s">
        <v>92</v>
      </c>
      <c r="AT30" t="s">
        <v>92</v>
      </c>
      <c r="AU30" t="s">
        <v>92</v>
      </c>
      <c r="AV30" t="s">
        <v>92</v>
      </c>
      <c r="AW30" t="s">
        <v>92</v>
      </c>
      <c r="AX30" t="s">
        <v>92</v>
      </c>
      <c r="AY30" t="s">
        <v>92</v>
      </c>
    </row>
    <row r="31" spans="1:51" x14ac:dyDescent="0.25">
      <c r="A31" t="s">
        <v>35</v>
      </c>
      <c r="B31" t="s">
        <v>92</v>
      </c>
      <c r="C31" t="s">
        <v>92</v>
      </c>
      <c r="D31" t="s">
        <v>92</v>
      </c>
      <c r="E31" t="s">
        <v>92</v>
      </c>
      <c r="F31" t="s">
        <v>92</v>
      </c>
      <c r="G31" t="s">
        <v>92</v>
      </c>
      <c r="H31" t="s">
        <v>92</v>
      </c>
      <c r="I31" t="s">
        <v>92</v>
      </c>
      <c r="J31" t="s">
        <v>92</v>
      </c>
      <c r="K31" t="s">
        <v>92</v>
      </c>
      <c r="L31" t="s">
        <v>92</v>
      </c>
      <c r="M31" t="s">
        <v>92</v>
      </c>
      <c r="N31" t="s">
        <v>92</v>
      </c>
      <c r="O31" t="s">
        <v>92</v>
      </c>
      <c r="P31" t="s">
        <v>92</v>
      </c>
      <c r="Q31" t="s">
        <v>92</v>
      </c>
      <c r="R31" t="s">
        <v>92</v>
      </c>
      <c r="S31" t="s">
        <v>92</v>
      </c>
      <c r="T31" t="s">
        <v>92</v>
      </c>
      <c r="U31" t="s">
        <v>92</v>
      </c>
      <c r="V31" t="s">
        <v>92</v>
      </c>
      <c r="W31" t="s">
        <v>92</v>
      </c>
      <c r="X31" t="s">
        <v>92</v>
      </c>
      <c r="Y31" t="s">
        <v>92</v>
      </c>
      <c r="Z31" t="s">
        <v>92</v>
      </c>
      <c r="AA31" t="s">
        <v>92</v>
      </c>
      <c r="AB31" t="s">
        <v>92</v>
      </c>
      <c r="AC31" t="s">
        <v>92</v>
      </c>
      <c r="AD31" t="s">
        <v>92</v>
      </c>
      <c r="AE31" t="s">
        <v>92</v>
      </c>
      <c r="AF31" t="s">
        <v>92</v>
      </c>
      <c r="AG31" t="s">
        <v>92</v>
      </c>
      <c r="AH31" t="s">
        <v>92</v>
      </c>
      <c r="AI31" t="s">
        <v>92</v>
      </c>
      <c r="AJ31" t="s">
        <v>92</v>
      </c>
      <c r="AK31" t="s">
        <v>92</v>
      </c>
      <c r="AL31" t="s">
        <v>92</v>
      </c>
      <c r="AM31" t="s">
        <v>92</v>
      </c>
      <c r="AN31" t="s">
        <v>92</v>
      </c>
      <c r="AO31" t="s">
        <v>92</v>
      </c>
      <c r="AP31" t="s">
        <v>92</v>
      </c>
      <c r="AQ31" t="s">
        <v>92</v>
      </c>
      <c r="AR31" t="s">
        <v>92</v>
      </c>
      <c r="AS31" t="s">
        <v>92</v>
      </c>
      <c r="AT31" t="s">
        <v>92</v>
      </c>
      <c r="AU31" t="s">
        <v>92</v>
      </c>
      <c r="AV31" t="s">
        <v>92</v>
      </c>
      <c r="AW31" t="s">
        <v>92</v>
      </c>
      <c r="AX31" t="s">
        <v>92</v>
      </c>
      <c r="AY31" t="s">
        <v>92</v>
      </c>
    </row>
    <row r="32" spans="1:51" x14ac:dyDescent="0.25">
      <c r="A32" t="s">
        <v>36</v>
      </c>
      <c r="B32" t="s">
        <v>92</v>
      </c>
      <c r="C32" t="s">
        <v>92</v>
      </c>
      <c r="D32" t="s">
        <v>92</v>
      </c>
      <c r="E32" t="s">
        <v>92</v>
      </c>
      <c r="F32" t="s">
        <v>92</v>
      </c>
      <c r="G32" t="s">
        <v>92</v>
      </c>
      <c r="H32" t="s">
        <v>92</v>
      </c>
      <c r="I32" t="s">
        <v>92</v>
      </c>
      <c r="J32" t="s">
        <v>92</v>
      </c>
      <c r="K32" t="s">
        <v>92</v>
      </c>
      <c r="L32" t="s">
        <v>92</v>
      </c>
      <c r="M32" t="s">
        <v>92</v>
      </c>
      <c r="N32" t="s">
        <v>92</v>
      </c>
      <c r="O32" t="s">
        <v>92</v>
      </c>
      <c r="P32" t="s">
        <v>92</v>
      </c>
      <c r="Q32" t="s">
        <v>92</v>
      </c>
      <c r="R32" t="s">
        <v>92</v>
      </c>
      <c r="S32" t="s">
        <v>92</v>
      </c>
      <c r="T32" t="s">
        <v>92</v>
      </c>
      <c r="U32" t="s">
        <v>92</v>
      </c>
      <c r="V32" t="s">
        <v>92</v>
      </c>
      <c r="W32" t="s">
        <v>92</v>
      </c>
      <c r="X32" t="s">
        <v>92</v>
      </c>
      <c r="Y32" t="s">
        <v>92</v>
      </c>
      <c r="Z32" t="s">
        <v>92</v>
      </c>
      <c r="AA32" t="s">
        <v>92</v>
      </c>
      <c r="AB32" t="s">
        <v>92</v>
      </c>
      <c r="AC32" t="s">
        <v>92</v>
      </c>
      <c r="AD32" t="s">
        <v>92</v>
      </c>
      <c r="AE32" t="s">
        <v>92</v>
      </c>
      <c r="AF32" t="s">
        <v>92</v>
      </c>
      <c r="AG32" t="s">
        <v>92</v>
      </c>
      <c r="AH32" t="s">
        <v>92</v>
      </c>
      <c r="AI32" t="s">
        <v>92</v>
      </c>
      <c r="AJ32" t="s">
        <v>92</v>
      </c>
      <c r="AK32" t="s">
        <v>92</v>
      </c>
      <c r="AL32" t="s">
        <v>92</v>
      </c>
      <c r="AM32" t="s">
        <v>92</v>
      </c>
      <c r="AN32" t="s">
        <v>92</v>
      </c>
      <c r="AO32" t="s">
        <v>92</v>
      </c>
      <c r="AP32" t="s">
        <v>92</v>
      </c>
      <c r="AQ32" t="s">
        <v>92</v>
      </c>
      <c r="AR32" t="s">
        <v>92</v>
      </c>
      <c r="AS32" t="s">
        <v>92</v>
      </c>
      <c r="AT32" t="s">
        <v>92</v>
      </c>
      <c r="AU32" t="s">
        <v>92</v>
      </c>
      <c r="AV32" t="s">
        <v>92</v>
      </c>
      <c r="AW32" t="s">
        <v>92</v>
      </c>
      <c r="AX32" t="s">
        <v>92</v>
      </c>
      <c r="AY32" t="s">
        <v>92</v>
      </c>
    </row>
    <row r="33" spans="1:51" x14ac:dyDescent="0.25">
      <c r="A33" t="s">
        <v>37</v>
      </c>
      <c r="B33" t="s">
        <v>92</v>
      </c>
      <c r="C33" t="s">
        <v>92</v>
      </c>
      <c r="D33" t="s">
        <v>92</v>
      </c>
      <c r="E33" t="s">
        <v>92</v>
      </c>
      <c r="F33" t="s">
        <v>92</v>
      </c>
      <c r="G33" t="s">
        <v>92</v>
      </c>
      <c r="H33" t="s">
        <v>92</v>
      </c>
      <c r="I33" t="s">
        <v>92</v>
      </c>
      <c r="J33" t="s">
        <v>92</v>
      </c>
      <c r="K33" t="s">
        <v>92</v>
      </c>
      <c r="L33" t="s">
        <v>92</v>
      </c>
      <c r="M33" t="s">
        <v>92</v>
      </c>
      <c r="N33" t="s">
        <v>92</v>
      </c>
      <c r="O33" t="s">
        <v>92</v>
      </c>
      <c r="P33" t="s">
        <v>92</v>
      </c>
      <c r="Q33" t="s">
        <v>92</v>
      </c>
      <c r="R33" t="s">
        <v>92</v>
      </c>
      <c r="S33" t="s">
        <v>92</v>
      </c>
      <c r="T33" t="s">
        <v>92</v>
      </c>
      <c r="U33" t="s">
        <v>92</v>
      </c>
      <c r="V33" t="s">
        <v>92</v>
      </c>
      <c r="W33" t="s">
        <v>92</v>
      </c>
      <c r="X33" t="s">
        <v>92</v>
      </c>
      <c r="Y33" t="s">
        <v>92</v>
      </c>
      <c r="Z33" t="s">
        <v>92</v>
      </c>
      <c r="AA33" t="s">
        <v>92</v>
      </c>
      <c r="AB33" t="s">
        <v>92</v>
      </c>
      <c r="AC33" t="s">
        <v>92</v>
      </c>
      <c r="AD33" t="s">
        <v>92</v>
      </c>
      <c r="AE33" t="s">
        <v>92</v>
      </c>
      <c r="AF33" t="s">
        <v>92</v>
      </c>
      <c r="AG33" t="s">
        <v>92</v>
      </c>
      <c r="AH33" t="s">
        <v>92</v>
      </c>
      <c r="AI33" t="s">
        <v>92</v>
      </c>
      <c r="AJ33" t="s">
        <v>92</v>
      </c>
      <c r="AK33" t="s">
        <v>92</v>
      </c>
      <c r="AL33" t="s">
        <v>92</v>
      </c>
      <c r="AM33" t="s">
        <v>92</v>
      </c>
      <c r="AN33" t="s">
        <v>92</v>
      </c>
      <c r="AO33" t="s">
        <v>92</v>
      </c>
      <c r="AP33" t="s">
        <v>92</v>
      </c>
      <c r="AQ33" t="s">
        <v>92</v>
      </c>
      <c r="AR33" t="s">
        <v>92</v>
      </c>
      <c r="AS33" t="s">
        <v>92</v>
      </c>
      <c r="AT33" t="s">
        <v>92</v>
      </c>
      <c r="AU33" t="s">
        <v>92</v>
      </c>
      <c r="AV33" t="s">
        <v>92</v>
      </c>
      <c r="AW33" t="s">
        <v>92</v>
      </c>
      <c r="AX33" t="s">
        <v>92</v>
      </c>
      <c r="AY33" t="s">
        <v>92</v>
      </c>
    </row>
    <row r="34" spans="1:51" x14ac:dyDescent="0.25">
      <c r="A34" t="s">
        <v>38</v>
      </c>
      <c r="B34" t="s">
        <v>92</v>
      </c>
      <c r="C34" t="s">
        <v>92</v>
      </c>
      <c r="D34" t="s">
        <v>92</v>
      </c>
      <c r="E34" t="s">
        <v>92</v>
      </c>
      <c r="F34" t="s">
        <v>92</v>
      </c>
      <c r="G34" t="s">
        <v>92</v>
      </c>
      <c r="H34" t="s">
        <v>92</v>
      </c>
      <c r="I34" t="s">
        <v>92</v>
      </c>
      <c r="J34" t="s">
        <v>92</v>
      </c>
      <c r="K34" t="s">
        <v>92</v>
      </c>
      <c r="L34" t="s">
        <v>92</v>
      </c>
      <c r="M34" t="s">
        <v>92</v>
      </c>
      <c r="N34" t="s">
        <v>92</v>
      </c>
      <c r="O34" t="s">
        <v>92</v>
      </c>
      <c r="P34" t="s">
        <v>92</v>
      </c>
      <c r="Q34" t="s">
        <v>92</v>
      </c>
      <c r="R34" t="s">
        <v>92</v>
      </c>
      <c r="S34" t="s">
        <v>92</v>
      </c>
      <c r="T34" t="s">
        <v>92</v>
      </c>
      <c r="U34" t="s">
        <v>92</v>
      </c>
      <c r="V34" t="s">
        <v>92</v>
      </c>
      <c r="W34" t="s">
        <v>92</v>
      </c>
      <c r="X34" t="s">
        <v>92</v>
      </c>
      <c r="Y34" t="s">
        <v>92</v>
      </c>
      <c r="Z34" t="s">
        <v>92</v>
      </c>
      <c r="AA34" t="s">
        <v>92</v>
      </c>
      <c r="AB34" t="s">
        <v>92</v>
      </c>
      <c r="AC34" t="s">
        <v>92</v>
      </c>
      <c r="AD34" t="s">
        <v>92</v>
      </c>
      <c r="AE34" t="s">
        <v>92</v>
      </c>
      <c r="AF34" t="s">
        <v>92</v>
      </c>
      <c r="AG34" t="s">
        <v>92</v>
      </c>
      <c r="AH34" t="s">
        <v>92</v>
      </c>
      <c r="AI34" t="s">
        <v>92</v>
      </c>
      <c r="AJ34" t="s">
        <v>92</v>
      </c>
      <c r="AK34" t="s">
        <v>92</v>
      </c>
      <c r="AL34" t="s">
        <v>92</v>
      </c>
      <c r="AM34" t="s">
        <v>92</v>
      </c>
      <c r="AN34" t="s">
        <v>92</v>
      </c>
      <c r="AO34" t="s">
        <v>92</v>
      </c>
      <c r="AP34" t="s">
        <v>92</v>
      </c>
      <c r="AQ34" t="s">
        <v>92</v>
      </c>
      <c r="AR34" t="s">
        <v>92</v>
      </c>
      <c r="AS34" t="s">
        <v>92</v>
      </c>
      <c r="AT34" t="s">
        <v>92</v>
      </c>
      <c r="AU34" t="s">
        <v>92</v>
      </c>
      <c r="AV34" t="s">
        <v>92</v>
      </c>
      <c r="AW34" t="s">
        <v>92</v>
      </c>
      <c r="AX34" t="s">
        <v>92</v>
      </c>
      <c r="AY34" t="s">
        <v>92</v>
      </c>
    </row>
    <row r="35" spans="1:51" x14ac:dyDescent="0.25">
      <c r="A35" t="s">
        <v>39</v>
      </c>
      <c r="B35" t="s">
        <v>92</v>
      </c>
      <c r="C35" t="s">
        <v>92</v>
      </c>
      <c r="D35" t="s">
        <v>92</v>
      </c>
      <c r="E35" t="s">
        <v>92</v>
      </c>
      <c r="F35" t="s">
        <v>92</v>
      </c>
      <c r="G35" t="s">
        <v>92</v>
      </c>
      <c r="H35" t="s">
        <v>92</v>
      </c>
      <c r="I35" t="s">
        <v>92</v>
      </c>
      <c r="J35" t="s">
        <v>92</v>
      </c>
      <c r="K35" t="s">
        <v>92</v>
      </c>
      <c r="L35" t="s">
        <v>92</v>
      </c>
      <c r="M35" t="s">
        <v>92</v>
      </c>
      <c r="N35" t="s">
        <v>92</v>
      </c>
      <c r="O35" t="s">
        <v>92</v>
      </c>
      <c r="P35" t="s">
        <v>92</v>
      </c>
      <c r="Q35" t="s">
        <v>92</v>
      </c>
      <c r="R35" t="s">
        <v>92</v>
      </c>
      <c r="S35" t="s">
        <v>92</v>
      </c>
      <c r="T35" t="s">
        <v>92</v>
      </c>
      <c r="U35" t="s">
        <v>92</v>
      </c>
      <c r="V35" t="s">
        <v>92</v>
      </c>
      <c r="W35" t="s">
        <v>92</v>
      </c>
      <c r="X35" t="s">
        <v>92</v>
      </c>
      <c r="Y35" t="s">
        <v>92</v>
      </c>
      <c r="Z35" t="s">
        <v>92</v>
      </c>
      <c r="AA35" t="s">
        <v>92</v>
      </c>
      <c r="AB35" t="s">
        <v>92</v>
      </c>
      <c r="AC35" t="s">
        <v>92</v>
      </c>
      <c r="AD35" t="s">
        <v>92</v>
      </c>
      <c r="AE35" t="s">
        <v>92</v>
      </c>
      <c r="AF35" t="s">
        <v>92</v>
      </c>
      <c r="AG35" t="s">
        <v>92</v>
      </c>
      <c r="AH35" t="s">
        <v>92</v>
      </c>
      <c r="AI35" t="s">
        <v>92</v>
      </c>
      <c r="AJ35" t="s">
        <v>92</v>
      </c>
      <c r="AK35" t="s">
        <v>92</v>
      </c>
      <c r="AL35" t="s">
        <v>92</v>
      </c>
      <c r="AM35" t="s">
        <v>92</v>
      </c>
      <c r="AN35" t="s">
        <v>92</v>
      </c>
      <c r="AO35" t="s">
        <v>92</v>
      </c>
      <c r="AP35" t="s">
        <v>92</v>
      </c>
      <c r="AQ35" t="s">
        <v>92</v>
      </c>
      <c r="AR35" t="s">
        <v>92</v>
      </c>
      <c r="AS35" t="s">
        <v>92</v>
      </c>
      <c r="AT35" t="s">
        <v>92</v>
      </c>
      <c r="AU35" t="s">
        <v>92</v>
      </c>
      <c r="AV35" t="s">
        <v>92</v>
      </c>
      <c r="AW35" t="s">
        <v>92</v>
      </c>
      <c r="AX35" t="s">
        <v>92</v>
      </c>
      <c r="AY35" t="s">
        <v>92</v>
      </c>
    </row>
    <row r="36" spans="1:51" x14ac:dyDescent="0.25">
      <c r="A36" t="s">
        <v>40</v>
      </c>
      <c r="B36" t="s">
        <v>92</v>
      </c>
      <c r="C36" t="s">
        <v>92</v>
      </c>
      <c r="D36" t="s">
        <v>92</v>
      </c>
      <c r="E36" t="s">
        <v>92</v>
      </c>
      <c r="F36" t="s">
        <v>92</v>
      </c>
      <c r="G36" t="s">
        <v>92</v>
      </c>
      <c r="H36" t="s">
        <v>92</v>
      </c>
      <c r="I36" t="s">
        <v>92</v>
      </c>
      <c r="J36" t="s">
        <v>92</v>
      </c>
      <c r="K36" t="s">
        <v>92</v>
      </c>
      <c r="L36" t="s">
        <v>92</v>
      </c>
      <c r="M36" t="s">
        <v>92</v>
      </c>
      <c r="N36" t="s">
        <v>92</v>
      </c>
      <c r="O36" t="s">
        <v>92</v>
      </c>
      <c r="P36" t="s">
        <v>92</v>
      </c>
      <c r="Q36" t="s">
        <v>92</v>
      </c>
      <c r="R36" t="s">
        <v>92</v>
      </c>
      <c r="S36" t="s">
        <v>92</v>
      </c>
      <c r="T36" t="s">
        <v>92</v>
      </c>
      <c r="U36" t="s">
        <v>92</v>
      </c>
      <c r="V36" t="s">
        <v>92</v>
      </c>
      <c r="W36" t="s">
        <v>92</v>
      </c>
      <c r="X36" t="s">
        <v>92</v>
      </c>
      <c r="Y36" t="s">
        <v>92</v>
      </c>
      <c r="Z36" t="s">
        <v>92</v>
      </c>
      <c r="AA36" t="s">
        <v>92</v>
      </c>
      <c r="AB36" t="s">
        <v>92</v>
      </c>
      <c r="AC36" t="s">
        <v>92</v>
      </c>
      <c r="AD36" t="s">
        <v>92</v>
      </c>
      <c r="AE36" t="s">
        <v>92</v>
      </c>
      <c r="AF36" t="s">
        <v>92</v>
      </c>
      <c r="AG36" t="s">
        <v>92</v>
      </c>
      <c r="AH36" t="s">
        <v>92</v>
      </c>
      <c r="AI36" t="s">
        <v>92</v>
      </c>
      <c r="AJ36" t="s">
        <v>92</v>
      </c>
      <c r="AK36" t="s">
        <v>92</v>
      </c>
      <c r="AL36" t="s">
        <v>92</v>
      </c>
      <c r="AM36" t="s">
        <v>92</v>
      </c>
      <c r="AN36" t="s">
        <v>92</v>
      </c>
      <c r="AO36" t="s">
        <v>92</v>
      </c>
      <c r="AP36" t="s">
        <v>92</v>
      </c>
      <c r="AQ36" t="s">
        <v>92</v>
      </c>
      <c r="AR36" t="s">
        <v>92</v>
      </c>
      <c r="AS36" t="s">
        <v>92</v>
      </c>
      <c r="AT36" t="s">
        <v>92</v>
      </c>
      <c r="AU36" t="s">
        <v>92</v>
      </c>
      <c r="AV36" t="s">
        <v>92</v>
      </c>
      <c r="AW36" t="s">
        <v>92</v>
      </c>
      <c r="AX36" t="s">
        <v>92</v>
      </c>
      <c r="AY36" t="s">
        <v>92</v>
      </c>
    </row>
    <row r="38" spans="1:51" x14ac:dyDescent="0.25">
      <c r="A38" t="s">
        <v>93</v>
      </c>
    </row>
    <row r="39" spans="1:51" x14ac:dyDescent="0.25">
      <c r="A39" t="s">
        <v>92</v>
      </c>
      <c r="B39" t="s">
        <v>94</v>
      </c>
    </row>
    <row r="44" spans="1:51" x14ac:dyDescent="0.25">
      <c r="A44" t="s">
        <v>41</v>
      </c>
    </row>
    <row r="45" spans="1:51" x14ac:dyDescent="0.25">
      <c r="A45">
        <v>1</v>
      </c>
      <c r="B45" t="s">
        <v>42</v>
      </c>
      <c r="C45" t="s">
        <v>43</v>
      </c>
      <c r="D45" t="s">
        <v>44</v>
      </c>
    </row>
    <row r="46" spans="1:51" x14ac:dyDescent="0.25">
      <c r="A46">
        <v>2</v>
      </c>
      <c r="B46" t="s">
        <v>61</v>
      </c>
    </row>
    <row r="50" spans="1:1" x14ac:dyDescent="0.25">
      <c r="A50" t="s">
        <v>45</v>
      </c>
    </row>
    <row r="51" spans="1:1" x14ac:dyDescent="0.25">
      <c r="A51" t="s">
        <v>46</v>
      </c>
    </row>
  </sheetData>
  <hyperlinks>
    <hyperlink ref="A6" r:id="rId1" display="https://www150.statcan.gc.ca/t1/tbl1/en/cv!recreate.action?pid=3610058701&amp;selectedNodeIds=2D3,3D22,3D42,4D1,4D2,4D3,4D4,4D5,4D6,4D7,4D8,4D9,4D10,4D11,4D12,4D13,4D14,4D15,4D16,4D17,4D18,4D19,4D20,4D21,4D22,4D23&amp;checkedLevels=0D1&amp;refPeriods=19990101,20230101&amp;dimensionLayouts=layout2,layout2,layout2,layout3,layout2&amp;vectorDisplay=false" xr:uid="{00000000-0004-0000-06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V47"/>
  <sheetViews>
    <sheetView topLeftCell="BI1" workbookViewId="0">
      <selection activeCell="B14" sqref="B14"/>
    </sheetView>
  </sheetViews>
  <sheetFormatPr defaultRowHeight="15" x14ac:dyDescent="0.25"/>
  <cols>
    <col min="1" max="1" width="30.5703125" customWidth="1"/>
  </cols>
  <sheetData>
    <row r="1" spans="1:126" x14ac:dyDescent="0.25">
      <c r="A1" t="s">
        <v>116</v>
      </c>
    </row>
    <row r="2" spans="1:126" x14ac:dyDescent="0.25">
      <c r="A2" t="s">
        <v>1</v>
      </c>
    </row>
    <row r="3" spans="1:126" x14ac:dyDescent="0.25">
      <c r="A3" t="s">
        <v>2</v>
      </c>
    </row>
    <row r="4" spans="1:126" x14ac:dyDescent="0.25">
      <c r="A4" t="s">
        <v>3</v>
      </c>
    </row>
    <row r="5" spans="1:126" x14ac:dyDescent="0.25">
      <c r="A5" t="s">
        <v>4</v>
      </c>
    </row>
    <row r="6" spans="1:126" x14ac:dyDescent="0.25">
      <c r="A6" s="2" t="s">
        <v>325</v>
      </c>
    </row>
    <row r="9" spans="1:126" x14ac:dyDescent="0.25">
      <c r="A9" t="s">
        <v>5</v>
      </c>
      <c r="B9" t="s">
        <v>6</v>
      </c>
    </row>
    <row r="10" spans="1:126" x14ac:dyDescent="0.25">
      <c r="A10" t="s">
        <v>7</v>
      </c>
      <c r="B10" t="s">
        <v>117</v>
      </c>
    </row>
    <row r="11" spans="1:126" x14ac:dyDescent="0.25">
      <c r="A11" t="s">
        <v>9</v>
      </c>
      <c r="B11" t="s">
        <v>11</v>
      </c>
      <c r="AA11" t="s">
        <v>12</v>
      </c>
      <c r="AZ11" t="s">
        <v>13</v>
      </c>
      <c r="BY11" t="s">
        <v>14</v>
      </c>
      <c r="CX11" t="s">
        <v>15</v>
      </c>
    </row>
    <row r="12" spans="1:126" x14ac:dyDescent="0.25">
      <c r="A12" t="s">
        <v>16</v>
      </c>
      <c r="B12">
        <v>1999</v>
      </c>
      <c r="C12">
        <v>2000</v>
      </c>
      <c r="D12">
        <v>2001</v>
      </c>
      <c r="E12">
        <v>2002</v>
      </c>
      <c r="F12">
        <v>2003</v>
      </c>
      <c r="G12">
        <v>2004</v>
      </c>
      <c r="H12">
        <v>2005</v>
      </c>
      <c r="I12">
        <v>2006</v>
      </c>
      <c r="J12">
        <v>2007</v>
      </c>
      <c r="K12">
        <v>2008</v>
      </c>
      <c r="L12">
        <v>2009</v>
      </c>
      <c r="M12">
        <v>2010</v>
      </c>
      <c r="N12">
        <v>2011</v>
      </c>
      <c r="O12">
        <v>2012</v>
      </c>
      <c r="P12">
        <v>2013</v>
      </c>
      <c r="Q12">
        <v>2014</v>
      </c>
      <c r="R12">
        <v>2015</v>
      </c>
      <c r="S12">
        <v>2016</v>
      </c>
      <c r="T12">
        <v>2017</v>
      </c>
      <c r="U12">
        <v>2018</v>
      </c>
      <c r="V12">
        <v>2019</v>
      </c>
      <c r="W12">
        <v>2020</v>
      </c>
      <c r="X12">
        <v>2021</v>
      </c>
      <c r="Y12">
        <v>2022</v>
      </c>
      <c r="Z12">
        <v>2023</v>
      </c>
      <c r="AA12">
        <v>1999</v>
      </c>
      <c r="AB12">
        <v>2000</v>
      </c>
      <c r="AC12">
        <v>2001</v>
      </c>
      <c r="AD12">
        <v>2002</v>
      </c>
      <c r="AE12">
        <v>2003</v>
      </c>
      <c r="AF12">
        <v>2004</v>
      </c>
      <c r="AG12">
        <v>2005</v>
      </c>
      <c r="AH12">
        <v>2006</v>
      </c>
      <c r="AI12">
        <v>2007</v>
      </c>
      <c r="AJ12">
        <v>2008</v>
      </c>
      <c r="AK12">
        <v>2009</v>
      </c>
      <c r="AL12">
        <v>2010</v>
      </c>
      <c r="AM12">
        <v>2011</v>
      </c>
      <c r="AN12">
        <v>2012</v>
      </c>
      <c r="AO12">
        <v>2013</v>
      </c>
      <c r="AP12">
        <v>2014</v>
      </c>
      <c r="AQ12">
        <v>2015</v>
      </c>
      <c r="AR12">
        <v>2016</v>
      </c>
      <c r="AS12">
        <v>2017</v>
      </c>
      <c r="AT12">
        <v>2018</v>
      </c>
      <c r="AU12">
        <v>2019</v>
      </c>
      <c r="AV12">
        <v>2020</v>
      </c>
      <c r="AW12">
        <v>2021</v>
      </c>
      <c r="AX12">
        <v>2022</v>
      </c>
      <c r="AY12">
        <v>2023</v>
      </c>
      <c r="AZ12">
        <v>1999</v>
      </c>
      <c r="BA12">
        <v>2000</v>
      </c>
      <c r="BB12">
        <v>2001</v>
      </c>
      <c r="BC12">
        <v>2002</v>
      </c>
      <c r="BD12">
        <v>2003</v>
      </c>
      <c r="BE12">
        <v>2004</v>
      </c>
      <c r="BF12">
        <v>2005</v>
      </c>
      <c r="BG12">
        <v>2006</v>
      </c>
      <c r="BH12">
        <v>2007</v>
      </c>
      <c r="BI12">
        <v>2008</v>
      </c>
      <c r="BJ12">
        <v>2009</v>
      </c>
      <c r="BK12">
        <v>2010</v>
      </c>
      <c r="BL12">
        <v>2011</v>
      </c>
      <c r="BM12">
        <v>2012</v>
      </c>
      <c r="BN12">
        <v>2013</v>
      </c>
      <c r="BO12">
        <v>2014</v>
      </c>
      <c r="BP12">
        <v>2015</v>
      </c>
      <c r="BQ12">
        <v>2016</v>
      </c>
      <c r="BR12">
        <v>2017</v>
      </c>
      <c r="BS12">
        <v>2018</v>
      </c>
      <c r="BT12">
        <v>2019</v>
      </c>
      <c r="BU12">
        <v>2020</v>
      </c>
      <c r="BV12">
        <v>2021</v>
      </c>
      <c r="BW12">
        <v>2022</v>
      </c>
      <c r="BX12">
        <v>2023</v>
      </c>
      <c r="BY12">
        <v>1999</v>
      </c>
      <c r="BZ12">
        <v>2000</v>
      </c>
      <c r="CA12">
        <v>2001</v>
      </c>
      <c r="CB12">
        <v>2002</v>
      </c>
      <c r="CC12">
        <v>2003</v>
      </c>
      <c r="CD12">
        <v>2004</v>
      </c>
      <c r="CE12">
        <v>2005</v>
      </c>
      <c r="CF12">
        <v>2006</v>
      </c>
      <c r="CG12">
        <v>2007</v>
      </c>
      <c r="CH12">
        <v>2008</v>
      </c>
      <c r="CI12">
        <v>2009</v>
      </c>
      <c r="CJ12">
        <v>2010</v>
      </c>
      <c r="CK12">
        <v>2011</v>
      </c>
      <c r="CL12">
        <v>2012</v>
      </c>
      <c r="CM12">
        <v>2013</v>
      </c>
      <c r="CN12">
        <v>2014</v>
      </c>
      <c r="CO12">
        <v>2015</v>
      </c>
      <c r="CP12">
        <v>2016</v>
      </c>
      <c r="CQ12">
        <v>2017</v>
      </c>
      <c r="CR12">
        <v>2018</v>
      </c>
      <c r="CS12">
        <v>2019</v>
      </c>
      <c r="CT12">
        <v>2020</v>
      </c>
      <c r="CU12">
        <v>2021</v>
      </c>
      <c r="CV12">
        <v>2022</v>
      </c>
      <c r="CW12">
        <v>2023</v>
      </c>
      <c r="CX12">
        <v>1999</v>
      </c>
      <c r="CY12">
        <v>2000</v>
      </c>
      <c r="CZ12">
        <v>2001</v>
      </c>
      <c r="DA12">
        <v>2002</v>
      </c>
      <c r="DB12">
        <v>2003</v>
      </c>
      <c r="DC12">
        <v>2004</v>
      </c>
      <c r="DD12">
        <v>2005</v>
      </c>
      <c r="DE12">
        <v>2006</v>
      </c>
      <c r="DF12">
        <v>2007</v>
      </c>
      <c r="DG12">
        <v>2008</v>
      </c>
      <c r="DH12">
        <v>2009</v>
      </c>
      <c r="DI12">
        <v>2010</v>
      </c>
      <c r="DJ12">
        <v>2011</v>
      </c>
      <c r="DK12">
        <v>2012</v>
      </c>
      <c r="DL12">
        <v>2013</v>
      </c>
      <c r="DM12">
        <v>2014</v>
      </c>
      <c r="DN12">
        <v>2015</v>
      </c>
      <c r="DO12">
        <v>2016</v>
      </c>
      <c r="DP12">
        <v>2017</v>
      </c>
      <c r="DQ12">
        <v>2018</v>
      </c>
      <c r="DR12">
        <v>2019</v>
      </c>
      <c r="DS12">
        <v>2020</v>
      </c>
      <c r="DT12">
        <v>2021</v>
      </c>
      <c r="DU12">
        <v>2022</v>
      </c>
      <c r="DV12">
        <v>2023</v>
      </c>
    </row>
    <row r="13" spans="1:126" x14ac:dyDescent="0.25">
      <c r="B13" t="s">
        <v>17</v>
      </c>
    </row>
    <row r="14" spans="1:126" x14ac:dyDescent="0.25">
      <c r="A14" t="s">
        <v>18</v>
      </c>
      <c r="B14" s="1">
        <v>14555</v>
      </c>
      <c r="C14" s="1">
        <v>14731</v>
      </c>
      <c r="D14" s="1">
        <v>15985</v>
      </c>
      <c r="E14" s="1">
        <v>16110</v>
      </c>
      <c r="F14" s="1">
        <v>16719</v>
      </c>
      <c r="G14" s="1">
        <v>16792</v>
      </c>
      <c r="H14" s="1">
        <v>16468</v>
      </c>
      <c r="I14" s="1">
        <v>18060</v>
      </c>
      <c r="J14" s="1">
        <v>19253</v>
      </c>
      <c r="K14" s="1">
        <v>19564</v>
      </c>
      <c r="L14" s="1">
        <v>20329</v>
      </c>
      <c r="M14" s="1">
        <v>21011</v>
      </c>
      <c r="N14" s="1">
        <v>21689</v>
      </c>
      <c r="O14" s="1">
        <v>23097</v>
      </c>
      <c r="P14" s="1">
        <v>22766</v>
      </c>
      <c r="Q14" s="1">
        <v>23215</v>
      </c>
      <c r="R14" s="1">
        <v>22867</v>
      </c>
      <c r="S14" s="1">
        <v>23637</v>
      </c>
      <c r="T14" s="1">
        <v>24025</v>
      </c>
      <c r="U14" s="1">
        <v>24888</v>
      </c>
      <c r="V14" s="1">
        <v>25566</v>
      </c>
      <c r="W14" s="1">
        <v>32930</v>
      </c>
      <c r="X14" s="1">
        <v>32346</v>
      </c>
      <c r="Y14" s="1">
        <v>31425</v>
      </c>
      <c r="Z14" s="1">
        <v>31604</v>
      </c>
      <c r="AA14" s="1">
        <v>28992</v>
      </c>
      <c r="AB14" s="1">
        <v>29772</v>
      </c>
      <c r="AC14" s="1">
        <v>31982</v>
      </c>
      <c r="AD14" s="1">
        <v>32572</v>
      </c>
      <c r="AE14" s="1">
        <v>32696</v>
      </c>
      <c r="AF14" s="1">
        <v>33458</v>
      </c>
      <c r="AG14" s="1">
        <v>34434</v>
      </c>
      <c r="AH14" s="1">
        <v>36489</v>
      </c>
      <c r="AI14" s="1">
        <v>38561</v>
      </c>
      <c r="AJ14" s="1">
        <v>39547</v>
      </c>
      <c r="AK14" s="1">
        <v>40208</v>
      </c>
      <c r="AL14" s="1">
        <v>42145</v>
      </c>
      <c r="AM14" s="1">
        <v>41886</v>
      </c>
      <c r="AN14" s="1">
        <v>44208</v>
      </c>
      <c r="AO14" s="1">
        <v>44566</v>
      </c>
      <c r="AP14" s="1">
        <v>45820</v>
      </c>
      <c r="AQ14" s="1">
        <v>47441</v>
      </c>
      <c r="AR14" s="1">
        <v>50267</v>
      </c>
      <c r="AS14" s="1">
        <v>50793</v>
      </c>
      <c r="AT14" s="1">
        <v>50870</v>
      </c>
      <c r="AU14" s="1">
        <v>51863</v>
      </c>
      <c r="AV14" s="1">
        <v>61111</v>
      </c>
      <c r="AW14" s="1">
        <v>60047</v>
      </c>
      <c r="AX14" s="1">
        <v>59345</v>
      </c>
      <c r="AY14" s="1">
        <v>59447</v>
      </c>
      <c r="AZ14" s="1">
        <v>40456</v>
      </c>
      <c r="BA14" s="1">
        <v>41187</v>
      </c>
      <c r="BB14" s="1">
        <v>42930</v>
      </c>
      <c r="BC14" s="1">
        <v>43409</v>
      </c>
      <c r="BD14" s="1">
        <v>44902</v>
      </c>
      <c r="BE14" s="1">
        <v>45754</v>
      </c>
      <c r="BF14" s="1">
        <v>46857</v>
      </c>
      <c r="BG14" s="1">
        <v>49509</v>
      </c>
      <c r="BH14" s="1">
        <v>50906</v>
      </c>
      <c r="BI14" s="1">
        <v>53477</v>
      </c>
      <c r="BJ14" s="1">
        <v>54206</v>
      </c>
      <c r="BK14" s="1">
        <v>57421</v>
      </c>
      <c r="BL14" s="1">
        <v>58051</v>
      </c>
      <c r="BM14" s="1">
        <v>59535</v>
      </c>
      <c r="BN14" s="1">
        <v>61727</v>
      </c>
      <c r="BO14" s="1">
        <v>62807</v>
      </c>
      <c r="BP14" s="1">
        <v>67701</v>
      </c>
      <c r="BQ14" s="1">
        <v>67952</v>
      </c>
      <c r="BR14" s="1">
        <v>68777</v>
      </c>
      <c r="BS14" s="1">
        <v>69381</v>
      </c>
      <c r="BT14" s="1">
        <v>71067</v>
      </c>
      <c r="BU14" s="1">
        <v>77443</v>
      </c>
      <c r="BV14" s="1">
        <v>78610</v>
      </c>
      <c r="BW14" s="1">
        <v>78188</v>
      </c>
      <c r="BX14" s="1">
        <v>78998</v>
      </c>
      <c r="BY14" s="1">
        <v>53967</v>
      </c>
      <c r="BZ14" s="1">
        <v>55257</v>
      </c>
      <c r="CA14" s="1">
        <v>57948</v>
      </c>
      <c r="CB14" s="1">
        <v>60528</v>
      </c>
      <c r="CC14" s="1">
        <v>60636</v>
      </c>
      <c r="CD14" s="1">
        <v>62590</v>
      </c>
      <c r="CE14" s="1">
        <v>64135</v>
      </c>
      <c r="CF14" s="1">
        <v>66336</v>
      </c>
      <c r="CG14" s="1">
        <v>68644</v>
      </c>
      <c r="CH14" s="1">
        <v>72288</v>
      </c>
      <c r="CI14" s="1">
        <v>73812</v>
      </c>
      <c r="CJ14" s="1">
        <v>77552</v>
      </c>
      <c r="CK14" s="1">
        <v>79990</v>
      </c>
      <c r="CL14" s="1">
        <v>81776</v>
      </c>
      <c r="CM14" s="1">
        <v>84751</v>
      </c>
      <c r="CN14" s="1">
        <v>87126</v>
      </c>
      <c r="CO14" s="1">
        <v>89151</v>
      </c>
      <c r="CP14" s="1">
        <v>88735</v>
      </c>
      <c r="CQ14" s="1">
        <v>91976</v>
      </c>
      <c r="CR14" s="1">
        <v>93084</v>
      </c>
      <c r="CS14" s="1">
        <v>95255</v>
      </c>
      <c r="CT14" s="1">
        <v>103347</v>
      </c>
      <c r="CU14" s="1">
        <v>110037</v>
      </c>
      <c r="CV14" s="1">
        <v>110849</v>
      </c>
      <c r="CW14" s="1">
        <v>114315</v>
      </c>
      <c r="CX14" s="1">
        <v>92502</v>
      </c>
      <c r="CY14" s="1">
        <v>99880</v>
      </c>
      <c r="CZ14" s="1">
        <v>102327</v>
      </c>
      <c r="DA14" s="1">
        <v>105850</v>
      </c>
      <c r="DB14" s="1">
        <v>108511</v>
      </c>
      <c r="DC14" s="1">
        <v>113861</v>
      </c>
      <c r="DD14" s="1">
        <v>117390</v>
      </c>
      <c r="DE14" s="1">
        <v>125058</v>
      </c>
      <c r="DF14" s="1">
        <v>129776</v>
      </c>
      <c r="DG14" s="1">
        <v>134548</v>
      </c>
      <c r="DH14" s="1">
        <v>135318</v>
      </c>
      <c r="DI14" s="1">
        <v>137421</v>
      </c>
      <c r="DJ14" s="1">
        <v>140240</v>
      </c>
      <c r="DK14" s="1">
        <v>143724</v>
      </c>
      <c r="DL14" s="1">
        <v>150019</v>
      </c>
      <c r="DM14" s="1">
        <v>152757</v>
      </c>
      <c r="DN14" s="1">
        <v>158829</v>
      </c>
      <c r="DO14" s="1">
        <v>152305</v>
      </c>
      <c r="DP14" s="1">
        <v>158796</v>
      </c>
      <c r="DQ14" s="1">
        <v>159751</v>
      </c>
      <c r="DR14" s="1">
        <v>165093</v>
      </c>
      <c r="DS14" s="1">
        <v>165803</v>
      </c>
      <c r="DT14" s="1">
        <v>175908</v>
      </c>
      <c r="DU14" s="1">
        <v>186643</v>
      </c>
      <c r="DV14" s="1">
        <v>197667</v>
      </c>
    </row>
    <row r="15" spans="1:126" x14ac:dyDescent="0.25">
      <c r="A15" t="s">
        <v>19</v>
      </c>
      <c r="B15" s="1">
        <v>6789</v>
      </c>
      <c r="C15" s="1">
        <v>7208</v>
      </c>
      <c r="D15" s="1">
        <v>7359</v>
      </c>
      <c r="E15" s="1">
        <v>7017</v>
      </c>
      <c r="F15" s="1">
        <v>7308</v>
      </c>
      <c r="G15" s="1">
        <v>7607</v>
      </c>
      <c r="H15" s="1">
        <v>7405</v>
      </c>
      <c r="I15" s="1">
        <v>8446</v>
      </c>
      <c r="J15" s="1">
        <v>9305</v>
      </c>
      <c r="K15" s="1">
        <v>9517</v>
      </c>
      <c r="L15" s="1">
        <v>8807</v>
      </c>
      <c r="M15" s="1">
        <v>8600</v>
      </c>
      <c r="N15" s="1">
        <v>9299</v>
      </c>
      <c r="O15" s="1">
        <v>10093</v>
      </c>
      <c r="P15" s="1">
        <v>10120</v>
      </c>
      <c r="Q15" s="1">
        <v>9602</v>
      </c>
      <c r="R15" s="1">
        <v>9554</v>
      </c>
      <c r="S15" s="1">
        <v>9539</v>
      </c>
      <c r="T15" s="1">
        <v>9664</v>
      </c>
      <c r="U15" s="1">
        <v>10555</v>
      </c>
      <c r="V15" s="1">
        <v>10835</v>
      </c>
      <c r="W15" s="1">
        <v>8886</v>
      </c>
      <c r="X15" s="1">
        <v>11303</v>
      </c>
      <c r="Y15" s="1">
        <v>11062</v>
      </c>
      <c r="Z15" s="1">
        <v>13234</v>
      </c>
      <c r="AA15" s="1">
        <v>19041</v>
      </c>
      <c r="AB15" s="1">
        <v>20608</v>
      </c>
      <c r="AC15" s="1">
        <v>21782</v>
      </c>
      <c r="AD15" s="1">
        <v>21540</v>
      </c>
      <c r="AE15" s="1">
        <v>21223</v>
      </c>
      <c r="AF15" s="1">
        <v>21376</v>
      </c>
      <c r="AG15" s="1">
        <v>22504</v>
      </c>
      <c r="AH15" s="1">
        <v>24999</v>
      </c>
      <c r="AI15" s="1">
        <v>26705</v>
      </c>
      <c r="AJ15" s="1">
        <v>28042</v>
      </c>
      <c r="AK15" s="1">
        <v>26328</v>
      </c>
      <c r="AL15" s="1">
        <v>26835</v>
      </c>
      <c r="AM15" s="1">
        <v>26998</v>
      </c>
      <c r="AN15" s="1">
        <v>29572</v>
      </c>
      <c r="AO15" s="1">
        <v>29246</v>
      </c>
      <c r="AP15" s="1">
        <v>30613</v>
      </c>
      <c r="AQ15" s="1">
        <v>31702</v>
      </c>
      <c r="AR15" s="1">
        <v>34011</v>
      </c>
      <c r="AS15" s="1">
        <v>33071</v>
      </c>
      <c r="AT15" s="1">
        <v>32501</v>
      </c>
      <c r="AU15" s="1">
        <v>33007</v>
      </c>
      <c r="AV15" s="1">
        <v>31418</v>
      </c>
      <c r="AW15" s="1">
        <v>35605</v>
      </c>
      <c r="AX15" s="1">
        <v>36358</v>
      </c>
      <c r="AY15" s="1">
        <v>37027</v>
      </c>
      <c r="AZ15" s="1">
        <v>36237</v>
      </c>
      <c r="BA15" s="1">
        <v>37042</v>
      </c>
      <c r="BB15" s="1">
        <v>38846</v>
      </c>
      <c r="BC15" s="1">
        <v>37283</v>
      </c>
      <c r="BD15" s="1">
        <v>40296</v>
      </c>
      <c r="BE15" s="1">
        <v>40734</v>
      </c>
      <c r="BF15" s="1">
        <v>42963</v>
      </c>
      <c r="BG15" s="1">
        <v>45292</v>
      </c>
      <c r="BH15" s="1">
        <v>47035</v>
      </c>
      <c r="BI15" s="1">
        <v>50024</v>
      </c>
      <c r="BJ15" s="1">
        <v>48714</v>
      </c>
      <c r="BK15" s="1">
        <v>50822</v>
      </c>
      <c r="BL15" s="1">
        <v>51926</v>
      </c>
      <c r="BM15" s="1">
        <v>53712</v>
      </c>
      <c r="BN15" s="1">
        <v>55141</v>
      </c>
      <c r="BO15" s="1">
        <v>55779</v>
      </c>
      <c r="BP15" s="1">
        <v>60358</v>
      </c>
      <c r="BQ15" s="1">
        <v>59008</v>
      </c>
      <c r="BR15" s="1">
        <v>58552</v>
      </c>
      <c r="BS15" s="1">
        <v>59296</v>
      </c>
      <c r="BT15" s="1">
        <v>60701</v>
      </c>
      <c r="BU15" s="1">
        <v>59775</v>
      </c>
      <c r="BV15" s="1">
        <v>64976</v>
      </c>
      <c r="BW15" s="1">
        <v>68540</v>
      </c>
      <c r="BX15" s="1">
        <v>69679</v>
      </c>
      <c r="BY15" s="1">
        <v>57463</v>
      </c>
      <c r="BZ15" s="1">
        <v>59613</v>
      </c>
      <c r="CA15" s="1">
        <v>61433</v>
      </c>
      <c r="CB15" s="1">
        <v>64069</v>
      </c>
      <c r="CC15" s="1">
        <v>64523</v>
      </c>
      <c r="CD15" s="1">
        <v>67632</v>
      </c>
      <c r="CE15" s="1">
        <v>69865</v>
      </c>
      <c r="CF15" s="1">
        <v>72057</v>
      </c>
      <c r="CG15" s="1">
        <v>74442</v>
      </c>
      <c r="CH15" s="1">
        <v>76888</v>
      </c>
      <c r="CI15" s="1">
        <v>77020</v>
      </c>
      <c r="CJ15" s="1">
        <v>79428</v>
      </c>
      <c r="CK15" s="1">
        <v>83614</v>
      </c>
      <c r="CL15" s="1">
        <v>86113</v>
      </c>
      <c r="CM15" s="1">
        <v>88972</v>
      </c>
      <c r="CN15" s="1">
        <v>91471</v>
      </c>
      <c r="CO15" s="1">
        <v>91410</v>
      </c>
      <c r="CP15" s="1">
        <v>91003</v>
      </c>
      <c r="CQ15" s="1">
        <v>94017</v>
      </c>
      <c r="CR15" s="1">
        <v>96715</v>
      </c>
      <c r="CS15" s="1">
        <v>99653</v>
      </c>
      <c r="CT15" s="1">
        <v>98747</v>
      </c>
      <c r="CU15" s="1">
        <v>106960</v>
      </c>
      <c r="CV15" s="1">
        <v>113837</v>
      </c>
      <c r="CW15" s="1">
        <v>120934</v>
      </c>
      <c r="CX15" s="1">
        <v>94301</v>
      </c>
      <c r="CY15" s="1">
        <v>104631</v>
      </c>
      <c r="CZ15" s="1">
        <v>105011</v>
      </c>
      <c r="DA15" s="1">
        <v>110137</v>
      </c>
      <c r="DB15" s="1">
        <v>113176</v>
      </c>
      <c r="DC15" s="1">
        <v>119790</v>
      </c>
      <c r="DD15" s="1">
        <v>125361</v>
      </c>
      <c r="DE15" s="1">
        <v>130519</v>
      </c>
      <c r="DF15" s="1">
        <v>136952</v>
      </c>
      <c r="DG15" s="1">
        <v>138546</v>
      </c>
      <c r="DH15" s="1">
        <v>135833</v>
      </c>
      <c r="DI15" s="1">
        <v>136547</v>
      </c>
      <c r="DJ15" s="1">
        <v>141253</v>
      </c>
      <c r="DK15" s="1">
        <v>144783</v>
      </c>
      <c r="DL15" s="1">
        <v>149901</v>
      </c>
      <c r="DM15" s="1">
        <v>154909</v>
      </c>
      <c r="DN15" s="1">
        <v>157049</v>
      </c>
      <c r="DO15" s="1">
        <v>152619</v>
      </c>
      <c r="DP15" s="1">
        <v>158331</v>
      </c>
      <c r="DQ15" s="1">
        <v>165569</v>
      </c>
      <c r="DR15" s="1">
        <v>168959</v>
      </c>
      <c r="DS15" s="1">
        <v>168197</v>
      </c>
      <c r="DT15" s="1">
        <v>183550</v>
      </c>
      <c r="DU15" s="1">
        <v>195306</v>
      </c>
      <c r="DV15" s="1">
        <v>202784</v>
      </c>
    </row>
    <row r="16" spans="1:126" x14ac:dyDescent="0.25">
      <c r="A16" t="s">
        <v>20</v>
      </c>
      <c r="B16" s="1">
        <v>2329</v>
      </c>
      <c r="C16" s="1">
        <v>2562</v>
      </c>
      <c r="D16" s="1">
        <v>2388</v>
      </c>
      <c r="E16" s="1">
        <v>2646</v>
      </c>
      <c r="F16" s="1">
        <v>2856</v>
      </c>
      <c r="G16" s="1">
        <v>2793</v>
      </c>
      <c r="H16" s="1">
        <v>2820</v>
      </c>
      <c r="I16" s="1">
        <v>3387</v>
      </c>
      <c r="J16" s="1">
        <v>3316</v>
      </c>
      <c r="K16" s="1">
        <v>3241</v>
      </c>
      <c r="L16" s="1">
        <v>3288</v>
      </c>
      <c r="M16" s="1">
        <v>3441</v>
      </c>
      <c r="N16" s="1">
        <v>3298</v>
      </c>
      <c r="O16" s="1">
        <v>3255</v>
      </c>
      <c r="P16" s="1">
        <v>3221</v>
      </c>
      <c r="Q16" s="1">
        <v>3633</v>
      </c>
      <c r="R16" s="1">
        <v>3269</v>
      </c>
      <c r="S16" s="1">
        <v>3859</v>
      </c>
      <c r="T16" s="1">
        <v>4068</v>
      </c>
      <c r="U16" s="1">
        <v>4362</v>
      </c>
      <c r="V16" s="1">
        <v>4600</v>
      </c>
      <c r="W16" s="1">
        <v>4436</v>
      </c>
      <c r="X16" s="1">
        <v>4758</v>
      </c>
      <c r="Y16" s="1">
        <v>5244</v>
      </c>
      <c r="Z16" s="1">
        <v>5471</v>
      </c>
      <c r="AA16" s="1">
        <v>4801</v>
      </c>
      <c r="AB16" s="1">
        <v>4994</v>
      </c>
      <c r="AC16" s="1">
        <v>5280</v>
      </c>
      <c r="AD16" s="1">
        <v>5312</v>
      </c>
      <c r="AE16" s="1">
        <v>5366</v>
      </c>
      <c r="AF16" s="1">
        <v>5553</v>
      </c>
      <c r="AG16" s="1">
        <v>5634</v>
      </c>
      <c r="AH16" s="1">
        <v>5616</v>
      </c>
      <c r="AI16" s="1">
        <v>6428</v>
      </c>
      <c r="AJ16" s="1">
        <v>5942</v>
      </c>
      <c r="AK16" s="1">
        <v>6146</v>
      </c>
      <c r="AL16" s="1">
        <v>7096</v>
      </c>
      <c r="AM16" s="1">
        <v>6702</v>
      </c>
      <c r="AN16" s="1">
        <v>7151</v>
      </c>
      <c r="AO16" s="1">
        <v>7139</v>
      </c>
      <c r="AP16" s="1">
        <v>7598</v>
      </c>
      <c r="AQ16" s="1">
        <v>7772</v>
      </c>
      <c r="AR16" s="1">
        <v>8460</v>
      </c>
      <c r="AS16" s="1">
        <v>8773</v>
      </c>
      <c r="AT16" s="1">
        <v>9126</v>
      </c>
      <c r="AU16" s="1">
        <v>9389</v>
      </c>
      <c r="AV16" s="1">
        <v>8685</v>
      </c>
      <c r="AW16" s="1">
        <v>9095</v>
      </c>
      <c r="AX16" s="1">
        <v>10122</v>
      </c>
      <c r="AY16" s="1">
        <v>10806</v>
      </c>
      <c r="AZ16" s="1">
        <v>6769</v>
      </c>
      <c r="BA16" s="1">
        <v>7161</v>
      </c>
      <c r="BB16" s="1">
        <v>6869</v>
      </c>
      <c r="BC16" s="1">
        <v>7541</v>
      </c>
      <c r="BD16" s="1">
        <v>7343</v>
      </c>
      <c r="BE16" s="1">
        <v>7229</v>
      </c>
      <c r="BF16" s="1">
        <v>7004</v>
      </c>
      <c r="BG16" s="1">
        <v>7431</v>
      </c>
      <c r="BH16" s="1">
        <v>7870</v>
      </c>
      <c r="BI16" s="1">
        <v>8527</v>
      </c>
      <c r="BJ16" s="1">
        <v>8287</v>
      </c>
      <c r="BK16" s="1">
        <v>8402</v>
      </c>
      <c r="BL16" s="1">
        <v>8769</v>
      </c>
      <c r="BM16" s="1">
        <v>9785</v>
      </c>
      <c r="BN16" s="1">
        <v>10082</v>
      </c>
      <c r="BO16" s="1">
        <v>10792</v>
      </c>
      <c r="BP16" s="1">
        <v>10925</v>
      </c>
      <c r="BQ16" s="1">
        <v>10768</v>
      </c>
      <c r="BR16" s="1">
        <v>11078</v>
      </c>
      <c r="BS16" s="1">
        <v>11080</v>
      </c>
      <c r="BT16" s="1">
        <v>11753</v>
      </c>
      <c r="BU16" s="1">
        <v>11298</v>
      </c>
      <c r="BV16" s="1">
        <v>12037</v>
      </c>
      <c r="BW16" s="1">
        <v>12496</v>
      </c>
      <c r="BX16" s="1">
        <v>13610</v>
      </c>
      <c r="BY16" s="1">
        <v>8715</v>
      </c>
      <c r="BZ16" s="1">
        <v>9152</v>
      </c>
      <c r="CA16" s="1">
        <v>9264</v>
      </c>
      <c r="CB16" s="1">
        <v>9494</v>
      </c>
      <c r="CC16" s="1">
        <v>9071</v>
      </c>
      <c r="CD16" s="1">
        <v>9410</v>
      </c>
      <c r="CE16" s="1">
        <v>10004</v>
      </c>
      <c r="CF16" s="1">
        <v>9925</v>
      </c>
      <c r="CG16" s="1">
        <v>10900</v>
      </c>
      <c r="CH16" s="1">
        <v>11434</v>
      </c>
      <c r="CI16" s="1">
        <v>11053</v>
      </c>
      <c r="CJ16" s="1">
        <v>11388</v>
      </c>
      <c r="CK16" s="1">
        <v>12301</v>
      </c>
      <c r="CL16" s="1">
        <v>12885</v>
      </c>
      <c r="CM16" s="1">
        <v>13523</v>
      </c>
      <c r="CN16" s="1">
        <v>13131</v>
      </c>
      <c r="CO16" s="1">
        <v>13657</v>
      </c>
      <c r="CP16" s="1">
        <v>14145</v>
      </c>
      <c r="CQ16" s="1">
        <v>14407</v>
      </c>
      <c r="CR16" s="1">
        <v>14725</v>
      </c>
      <c r="CS16" s="1">
        <v>15244</v>
      </c>
      <c r="CT16" s="1">
        <v>15385</v>
      </c>
      <c r="CU16" s="1">
        <v>15395</v>
      </c>
      <c r="CV16" s="1">
        <v>16361</v>
      </c>
      <c r="CW16" s="1">
        <v>17590</v>
      </c>
      <c r="CX16" s="1">
        <v>18653</v>
      </c>
      <c r="CY16" s="1">
        <v>18819</v>
      </c>
      <c r="CZ16" s="1">
        <v>20139</v>
      </c>
      <c r="DA16" s="1">
        <v>19955</v>
      </c>
      <c r="DB16" s="1">
        <v>21655</v>
      </c>
      <c r="DC16" s="1">
        <v>22943</v>
      </c>
      <c r="DD16" s="1">
        <v>23180</v>
      </c>
      <c r="DE16" s="1">
        <v>23623</v>
      </c>
      <c r="DF16" s="1">
        <v>23726</v>
      </c>
      <c r="DG16" s="1">
        <v>24160</v>
      </c>
      <c r="DH16" s="1">
        <v>24183</v>
      </c>
      <c r="DI16" s="1">
        <v>24313</v>
      </c>
      <c r="DJ16" s="1">
        <v>24957</v>
      </c>
      <c r="DK16" s="1">
        <v>24260</v>
      </c>
      <c r="DL16" s="1">
        <v>24326</v>
      </c>
      <c r="DM16" s="1">
        <v>23983</v>
      </c>
      <c r="DN16" s="1">
        <v>25184</v>
      </c>
      <c r="DO16" s="1">
        <v>24822</v>
      </c>
      <c r="DP16" s="1">
        <v>24781</v>
      </c>
      <c r="DQ16" s="1">
        <v>24262</v>
      </c>
      <c r="DR16" s="1">
        <v>25432</v>
      </c>
      <c r="DS16" s="1">
        <v>26023</v>
      </c>
      <c r="DT16" s="1">
        <v>26855</v>
      </c>
      <c r="DU16" s="1">
        <v>28363</v>
      </c>
      <c r="DV16" s="1">
        <v>30226</v>
      </c>
    </row>
    <row r="17" spans="1:126" x14ac:dyDescent="0.25">
      <c r="A17" t="s">
        <v>21</v>
      </c>
      <c r="B17" s="1">
        <v>1335</v>
      </c>
      <c r="C17" s="1">
        <v>1820</v>
      </c>
      <c r="D17" s="1">
        <v>1345</v>
      </c>
      <c r="E17" s="1">
        <v>1387</v>
      </c>
      <c r="F17" s="1">
        <v>1181</v>
      </c>
      <c r="G17" s="1">
        <v>1272</v>
      </c>
      <c r="H17" s="1">
        <v>1543</v>
      </c>
      <c r="I17" s="1">
        <v>1565</v>
      </c>
      <c r="J17" s="1">
        <v>1875</v>
      </c>
      <c r="K17" s="1">
        <v>1738</v>
      </c>
      <c r="L17" s="1">
        <v>1443</v>
      </c>
      <c r="M17" s="1">
        <v>1392</v>
      </c>
      <c r="N17" s="1">
        <v>1580</v>
      </c>
      <c r="O17" s="1">
        <v>1739</v>
      </c>
      <c r="P17" s="1">
        <v>1647</v>
      </c>
      <c r="Q17" s="1">
        <v>1665</v>
      </c>
      <c r="R17" s="1">
        <v>1694</v>
      </c>
      <c r="S17" s="1">
        <v>1789</v>
      </c>
      <c r="T17" s="1">
        <v>1949</v>
      </c>
      <c r="U17" s="1">
        <v>2062</v>
      </c>
      <c r="V17" s="1">
        <v>2139</v>
      </c>
      <c r="W17" s="1">
        <v>2281</v>
      </c>
      <c r="X17" s="1">
        <v>2514</v>
      </c>
      <c r="Y17" s="1">
        <v>2485</v>
      </c>
      <c r="Z17" s="1">
        <v>3079</v>
      </c>
      <c r="AA17" s="1">
        <v>3348</v>
      </c>
      <c r="AB17" s="1">
        <v>3809</v>
      </c>
      <c r="AC17" s="1">
        <v>3212</v>
      </c>
      <c r="AD17" s="1">
        <v>3054</v>
      </c>
      <c r="AE17" s="1">
        <v>2980</v>
      </c>
      <c r="AF17" s="1">
        <v>3154</v>
      </c>
      <c r="AG17" s="1">
        <v>3478</v>
      </c>
      <c r="AH17" s="1">
        <v>3588</v>
      </c>
      <c r="AI17" s="1">
        <v>3918</v>
      </c>
      <c r="AJ17" s="1">
        <v>3784</v>
      </c>
      <c r="AK17" s="1">
        <v>3214</v>
      </c>
      <c r="AL17" s="1">
        <v>3028</v>
      </c>
      <c r="AM17" s="1">
        <v>3489</v>
      </c>
      <c r="AN17" s="1">
        <v>3776</v>
      </c>
      <c r="AO17" s="1">
        <v>3529</v>
      </c>
      <c r="AP17" s="1">
        <v>3908</v>
      </c>
      <c r="AQ17" s="1">
        <v>3719</v>
      </c>
      <c r="AR17" s="1">
        <v>3732</v>
      </c>
      <c r="AS17" s="1">
        <v>3778</v>
      </c>
      <c r="AT17" s="1">
        <v>3790</v>
      </c>
      <c r="AU17" s="1">
        <v>4008</v>
      </c>
      <c r="AV17" s="1">
        <v>4172</v>
      </c>
      <c r="AW17" s="1">
        <v>4420</v>
      </c>
      <c r="AX17" s="1">
        <v>4600</v>
      </c>
      <c r="AY17" s="1">
        <v>4987</v>
      </c>
      <c r="AZ17" s="1">
        <v>6262</v>
      </c>
      <c r="BA17" s="1">
        <v>6141</v>
      </c>
      <c r="BB17" s="1">
        <v>6166</v>
      </c>
      <c r="BC17" s="1">
        <v>5682</v>
      </c>
      <c r="BD17" s="1">
        <v>5572</v>
      </c>
      <c r="BE17" s="1">
        <v>5913</v>
      </c>
      <c r="BF17" s="1">
        <v>5976</v>
      </c>
      <c r="BG17" s="1">
        <v>6081</v>
      </c>
      <c r="BH17" s="1">
        <v>6357</v>
      </c>
      <c r="BI17" s="1">
        <v>6469</v>
      </c>
      <c r="BJ17" s="1">
        <v>6135</v>
      </c>
      <c r="BK17" s="1">
        <v>6067</v>
      </c>
      <c r="BL17" s="1">
        <v>6533</v>
      </c>
      <c r="BM17" s="1">
        <v>6627</v>
      </c>
      <c r="BN17" s="1">
        <v>6149</v>
      </c>
      <c r="BO17" s="1">
        <v>6541</v>
      </c>
      <c r="BP17" s="1">
        <v>6909</v>
      </c>
      <c r="BQ17" s="1">
        <v>7076</v>
      </c>
      <c r="BR17" s="1">
        <v>7021</v>
      </c>
      <c r="BS17" s="1">
        <v>7112</v>
      </c>
      <c r="BT17" s="1">
        <v>7329</v>
      </c>
      <c r="BU17" s="1">
        <v>7408</v>
      </c>
      <c r="BV17" s="1">
        <v>7786</v>
      </c>
      <c r="BW17" s="1">
        <v>8008</v>
      </c>
      <c r="BX17" s="1">
        <v>8699</v>
      </c>
      <c r="BY17" s="1">
        <v>9693</v>
      </c>
      <c r="BZ17" s="1">
        <v>9313</v>
      </c>
      <c r="CA17" s="1">
        <v>9397</v>
      </c>
      <c r="CB17" s="1">
        <v>8483</v>
      </c>
      <c r="CC17" s="1">
        <v>8715</v>
      </c>
      <c r="CD17" s="1">
        <v>8378</v>
      </c>
      <c r="CE17" s="1">
        <v>9145</v>
      </c>
      <c r="CF17" s="1">
        <v>9400</v>
      </c>
      <c r="CG17" s="1">
        <v>10185</v>
      </c>
      <c r="CH17" s="1">
        <v>10471</v>
      </c>
      <c r="CI17" s="1">
        <v>10130</v>
      </c>
      <c r="CJ17" s="1">
        <v>10311</v>
      </c>
      <c r="CK17" s="1">
        <v>10130</v>
      </c>
      <c r="CL17" s="1">
        <v>10767</v>
      </c>
      <c r="CM17" s="1">
        <v>10794</v>
      </c>
      <c r="CN17" s="1">
        <v>10998</v>
      </c>
      <c r="CO17" s="1">
        <v>11546</v>
      </c>
      <c r="CP17" s="1">
        <v>11317</v>
      </c>
      <c r="CQ17" s="1">
        <v>11348</v>
      </c>
      <c r="CR17" s="1">
        <v>11526</v>
      </c>
      <c r="CS17" s="1">
        <v>11979</v>
      </c>
      <c r="CT17" s="1">
        <v>12150</v>
      </c>
      <c r="CU17" s="1">
        <v>12388</v>
      </c>
      <c r="CV17" s="1">
        <v>13090</v>
      </c>
      <c r="CW17" s="1">
        <v>14699</v>
      </c>
      <c r="CX17" s="1">
        <v>26528</v>
      </c>
      <c r="CY17" s="1">
        <v>27662</v>
      </c>
      <c r="CZ17" s="1">
        <v>27619</v>
      </c>
      <c r="DA17" s="1">
        <v>25378</v>
      </c>
      <c r="DB17" s="1">
        <v>24721</v>
      </c>
      <c r="DC17" s="1">
        <v>25649</v>
      </c>
      <c r="DD17" s="1">
        <v>27457</v>
      </c>
      <c r="DE17" s="1">
        <v>31677</v>
      </c>
      <c r="DF17" s="1">
        <v>35483</v>
      </c>
      <c r="DG17" s="1">
        <v>36805</v>
      </c>
      <c r="DH17" s="1">
        <v>34756</v>
      </c>
      <c r="DI17" s="1">
        <v>34345</v>
      </c>
      <c r="DJ17" s="1">
        <v>35888</v>
      </c>
      <c r="DK17" s="1">
        <v>37032</v>
      </c>
      <c r="DL17" s="1">
        <v>38825</v>
      </c>
      <c r="DM17" s="1">
        <v>39392</v>
      </c>
      <c r="DN17" s="1">
        <v>43848</v>
      </c>
      <c r="DO17" s="1">
        <v>40141</v>
      </c>
      <c r="DP17" s="1">
        <v>42945</v>
      </c>
      <c r="DQ17" s="1">
        <v>41229</v>
      </c>
      <c r="DR17" s="1">
        <v>44024</v>
      </c>
      <c r="DS17" s="1">
        <v>41529</v>
      </c>
      <c r="DT17" s="1">
        <v>43300</v>
      </c>
      <c r="DU17" s="1">
        <v>47220</v>
      </c>
      <c r="DV17" s="1">
        <v>57231</v>
      </c>
    </row>
    <row r="18" spans="1:126" x14ac:dyDescent="0.25">
      <c r="A18" t="s">
        <v>22</v>
      </c>
      <c r="B18" s="1">
        <v>1645</v>
      </c>
      <c r="C18" s="1">
        <v>1980</v>
      </c>
      <c r="D18" s="1">
        <v>1903</v>
      </c>
      <c r="E18" s="1">
        <v>1712</v>
      </c>
      <c r="F18" s="1">
        <v>1771</v>
      </c>
      <c r="G18" s="1">
        <v>1844</v>
      </c>
      <c r="H18" s="1">
        <v>2021</v>
      </c>
      <c r="I18" s="1">
        <v>2630</v>
      </c>
      <c r="J18" s="1">
        <v>2782</v>
      </c>
      <c r="K18" s="1">
        <v>2828</v>
      </c>
      <c r="L18" s="1">
        <v>2381</v>
      </c>
      <c r="M18" s="1">
        <v>2205</v>
      </c>
      <c r="N18" s="1">
        <v>2339</v>
      </c>
      <c r="O18" s="1">
        <v>2465</v>
      </c>
      <c r="P18" s="1">
        <v>2417</v>
      </c>
      <c r="Q18" s="1">
        <v>2295</v>
      </c>
      <c r="R18" s="1">
        <v>2375</v>
      </c>
      <c r="S18" s="1">
        <v>2334</v>
      </c>
      <c r="T18" s="1">
        <v>2461</v>
      </c>
      <c r="U18" s="1">
        <v>2898</v>
      </c>
      <c r="V18" s="1">
        <v>3308</v>
      </c>
      <c r="W18" s="1">
        <v>3021</v>
      </c>
      <c r="X18" s="1">
        <v>2774</v>
      </c>
      <c r="Y18" s="1">
        <v>3596</v>
      </c>
      <c r="Z18" s="1">
        <v>5956</v>
      </c>
      <c r="AA18" s="1">
        <v>2339</v>
      </c>
      <c r="AB18" s="1">
        <v>2643</v>
      </c>
      <c r="AC18" s="1">
        <v>2533</v>
      </c>
      <c r="AD18" s="1">
        <v>2273</v>
      </c>
      <c r="AE18" s="1">
        <v>2307</v>
      </c>
      <c r="AF18" s="1">
        <v>2331</v>
      </c>
      <c r="AG18" s="1">
        <v>2671</v>
      </c>
      <c r="AH18" s="1">
        <v>3159</v>
      </c>
      <c r="AI18" s="1">
        <v>3578</v>
      </c>
      <c r="AJ18" s="1">
        <v>3661</v>
      </c>
      <c r="AK18" s="1">
        <v>2975</v>
      </c>
      <c r="AL18" s="1">
        <v>2945</v>
      </c>
      <c r="AM18" s="1">
        <v>2947</v>
      </c>
      <c r="AN18" s="1">
        <v>3095</v>
      </c>
      <c r="AO18" s="1">
        <v>3093</v>
      </c>
      <c r="AP18" s="1">
        <v>2879</v>
      </c>
      <c r="AQ18" s="1">
        <v>2930</v>
      </c>
      <c r="AR18" s="1">
        <v>3036</v>
      </c>
      <c r="AS18" s="1">
        <v>3155</v>
      </c>
      <c r="AT18" s="1">
        <v>3561</v>
      </c>
      <c r="AU18" s="1">
        <v>3935</v>
      </c>
      <c r="AV18" s="1">
        <v>3731</v>
      </c>
      <c r="AW18" s="1">
        <v>3398</v>
      </c>
      <c r="AX18" s="1">
        <v>4149</v>
      </c>
      <c r="AY18" s="1">
        <v>6289</v>
      </c>
      <c r="AZ18" s="1">
        <v>2978</v>
      </c>
      <c r="BA18" s="1">
        <v>3344</v>
      </c>
      <c r="BB18" s="1">
        <v>3213</v>
      </c>
      <c r="BC18" s="1">
        <v>2818</v>
      </c>
      <c r="BD18" s="1">
        <v>2946</v>
      </c>
      <c r="BE18" s="1">
        <v>2984</v>
      </c>
      <c r="BF18" s="1">
        <v>3116</v>
      </c>
      <c r="BG18" s="1">
        <v>3740</v>
      </c>
      <c r="BH18" s="1">
        <v>4354</v>
      </c>
      <c r="BI18" s="1">
        <v>4524</v>
      </c>
      <c r="BJ18" s="1">
        <v>3981</v>
      </c>
      <c r="BK18" s="1">
        <v>3670</v>
      </c>
      <c r="BL18" s="1">
        <v>3739</v>
      </c>
      <c r="BM18" s="1">
        <v>3709</v>
      </c>
      <c r="BN18" s="1">
        <v>3701</v>
      </c>
      <c r="BO18" s="1">
        <v>3709</v>
      </c>
      <c r="BP18" s="1">
        <v>3786</v>
      </c>
      <c r="BQ18" s="1">
        <v>3600</v>
      </c>
      <c r="BR18" s="1">
        <v>3714</v>
      </c>
      <c r="BS18" s="1">
        <v>4200</v>
      </c>
      <c r="BT18" s="1">
        <v>4719</v>
      </c>
      <c r="BU18" s="1">
        <v>4468</v>
      </c>
      <c r="BV18" s="1">
        <v>4203</v>
      </c>
      <c r="BW18" s="1">
        <v>5063</v>
      </c>
      <c r="BX18" s="1">
        <v>7470</v>
      </c>
      <c r="BY18" s="1">
        <v>3704</v>
      </c>
      <c r="BZ18" s="1">
        <v>4247</v>
      </c>
      <c r="CA18" s="1">
        <v>4115</v>
      </c>
      <c r="CB18" s="1">
        <v>3699</v>
      </c>
      <c r="CC18" s="1">
        <v>3619</v>
      </c>
      <c r="CD18" s="1">
        <v>3707</v>
      </c>
      <c r="CE18" s="1">
        <v>3987</v>
      </c>
      <c r="CF18" s="1">
        <v>4485</v>
      </c>
      <c r="CG18" s="1">
        <v>5352</v>
      </c>
      <c r="CH18" s="1">
        <v>5396</v>
      </c>
      <c r="CI18" s="1">
        <v>4771</v>
      </c>
      <c r="CJ18" s="1">
        <v>4695</v>
      </c>
      <c r="CK18" s="1">
        <v>4601</v>
      </c>
      <c r="CL18" s="1">
        <v>4627</v>
      </c>
      <c r="CM18" s="1">
        <v>4647</v>
      </c>
      <c r="CN18" s="1">
        <v>4580</v>
      </c>
      <c r="CO18" s="1">
        <v>4516</v>
      </c>
      <c r="CP18" s="1">
        <v>4618</v>
      </c>
      <c r="CQ18" s="1">
        <v>4829</v>
      </c>
      <c r="CR18" s="1">
        <v>5532</v>
      </c>
      <c r="CS18" s="1">
        <v>6161</v>
      </c>
      <c r="CT18" s="1">
        <v>5516</v>
      </c>
      <c r="CU18" s="1">
        <v>4820</v>
      </c>
      <c r="CV18" s="1">
        <v>5940</v>
      </c>
      <c r="CW18" s="1">
        <v>9329</v>
      </c>
      <c r="CX18" s="1">
        <v>4693</v>
      </c>
      <c r="CY18" s="1">
        <v>5068</v>
      </c>
      <c r="CZ18" s="1">
        <v>5057</v>
      </c>
      <c r="DA18" s="1">
        <v>4503</v>
      </c>
      <c r="DB18" s="1">
        <v>4881</v>
      </c>
      <c r="DC18" s="1">
        <v>4870</v>
      </c>
      <c r="DD18" s="1">
        <v>4969</v>
      </c>
      <c r="DE18" s="1">
        <v>6068</v>
      </c>
      <c r="DF18" s="1">
        <v>7004</v>
      </c>
      <c r="DG18" s="1">
        <v>7267</v>
      </c>
      <c r="DH18" s="1">
        <v>6229</v>
      </c>
      <c r="DI18" s="1">
        <v>6060</v>
      </c>
      <c r="DJ18" s="1">
        <v>5768</v>
      </c>
      <c r="DK18" s="1">
        <v>5668</v>
      </c>
      <c r="DL18" s="1">
        <v>5687</v>
      </c>
      <c r="DM18" s="1">
        <v>5734</v>
      </c>
      <c r="DN18" s="1">
        <v>5534</v>
      </c>
      <c r="DO18" s="1">
        <v>5478</v>
      </c>
      <c r="DP18" s="1">
        <v>5798</v>
      </c>
      <c r="DQ18" s="1">
        <v>6621</v>
      </c>
      <c r="DR18" s="1">
        <v>7361</v>
      </c>
      <c r="DS18" s="1">
        <v>6474</v>
      </c>
      <c r="DT18" s="1">
        <v>6072</v>
      </c>
      <c r="DU18" s="1">
        <v>7287</v>
      </c>
      <c r="DV18" s="1">
        <v>11009</v>
      </c>
    </row>
    <row r="19" spans="1:126" x14ac:dyDescent="0.25">
      <c r="A19" t="s">
        <v>23</v>
      </c>
      <c r="B19" s="1">
        <v>9974</v>
      </c>
      <c r="C19" s="1">
        <v>10793</v>
      </c>
      <c r="D19" s="1">
        <v>11262</v>
      </c>
      <c r="E19" s="1">
        <v>11473</v>
      </c>
      <c r="F19" s="1">
        <v>11737</v>
      </c>
      <c r="G19" s="1">
        <v>11635</v>
      </c>
      <c r="H19" s="1">
        <v>12179</v>
      </c>
      <c r="I19" s="1">
        <v>12689</v>
      </c>
      <c r="J19" s="1">
        <v>13812</v>
      </c>
      <c r="K19" s="1">
        <v>14072</v>
      </c>
      <c r="L19" s="1">
        <v>14894</v>
      </c>
      <c r="M19" s="1">
        <v>15360</v>
      </c>
      <c r="N19" s="1">
        <v>15869</v>
      </c>
      <c r="O19" s="1">
        <v>16180</v>
      </c>
      <c r="P19" s="1">
        <v>16424</v>
      </c>
      <c r="Q19" s="1">
        <v>16669</v>
      </c>
      <c r="R19" s="1">
        <v>16929</v>
      </c>
      <c r="S19" s="1">
        <v>17697</v>
      </c>
      <c r="T19" s="1">
        <v>18331</v>
      </c>
      <c r="U19" s="1">
        <v>18816</v>
      </c>
      <c r="V19" s="1">
        <v>19471</v>
      </c>
      <c r="W19" s="1">
        <v>28685</v>
      </c>
      <c r="X19" s="1">
        <v>25622</v>
      </c>
      <c r="Y19" s="1">
        <v>25510</v>
      </c>
      <c r="Z19" s="1">
        <v>26107</v>
      </c>
      <c r="AA19" s="1">
        <v>13064</v>
      </c>
      <c r="AB19" s="1">
        <v>13175</v>
      </c>
      <c r="AC19" s="1">
        <v>14001</v>
      </c>
      <c r="AD19" s="1">
        <v>14413</v>
      </c>
      <c r="AE19" s="1">
        <v>14966</v>
      </c>
      <c r="AF19" s="1">
        <v>15741</v>
      </c>
      <c r="AG19" s="1">
        <v>16294</v>
      </c>
      <c r="AH19" s="1">
        <v>16884</v>
      </c>
      <c r="AI19" s="1">
        <v>17511</v>
      </c>
      <c r="AJ19" s="1">
        <v>17766</v>
      </c>
      <c r="AK19" s="1">
        <v>18375</v>
      </c>
      <c r="AL19" s="1">
        <v>19060</v>
      </c>
      <c r="AM19" s="1">
        <v>19042</v>
      </c>
      <c r="AN19" s="1">
        <v>19959</v>
      </c>
      <c r="AO19" s="1">
        <v>20270</v>
      </c>
      <c r="AP19" s="1">
        <v>20306</v>
      </c>
      <c r="AQ19" s="1">
        <v>21059</v>
      </c>
      <c r="AR19" s="1">
        <v>21850</v>
      </c>
      <c r="AS19" s="1">
        <v>22697</v>
      </c>
      <c r="AT19" s="1">
        <v>23358</v>
      </c>
      <c r="AU19" s="1">
        <v>24113</v>
      </c>
      <c r="AV19" s="1">
        <v>34871</v>
      </c>
      <c r="AW19" s="1">
        <v>31505</v>
      </c>
      <c r="AX19" s="1">
        <v>30013</v>
      </c>
      <c r="AY19" s="1">
        <v>30786</v>
      </c>
      <c r="AZ19" s="1">
        <v>11942</v>
      </c>
      <c r="BA19" s="1">
        <v>11986</v>
      </c>
      <c r="BB19" s="1">
        <v>12727</v>
      </c>
      <c r="BC19" s="1">
        <v>13062</v>
      </c>
      <c r="BD19" s="1">
        <v>13162</v>
      </c>
      <c r="BE19" s="1">
        <v>14383</v>
      </c>
      <c r="BF19" s="1">
        <v>14374</v>
      </c>
      <c r="BG19" s="1">
        <v>15367</v>
      </c>
      <c r="BH19" s="1">
        <v>15391</v>
      </c>
      <c r="BI19" s="1">
        <v>15582</v>
      </c>
      <c r="BJ19" s="1">
        <v>16510</v>
      </c>
      <c r="BK19" s="1">
        <v>17634</v>
      </c>
      <c r="BL19" s="1">
        <v>17860</v>
      </c>
      <c r="BM19" s="1">
        <v>17816</v>
      </c>
      <c r="BN19" s="1">
        <v>18606</v>
      </c>
      <c r="BO19" s="1">
        <v>18819</v>
      </c>
      <c r="BP19" s="1">
        <v>20761</v>
      </c>
      <c r="BQ19" s="1">
        <v>22704</v>
      </c>
      <c r="BR19" s="1">
        <v>23272</v>
      </c>
      <c r="BS19" s="1">
        <v>23802</v>
      </c>
      <c r="BT19" s="1">
        <v>24329</v>
      </c>
      <c r="BU19" s="1">
        <v>31595</v>
      </c>
      <c r="BV19" s="1">
        <v>29812</v>
      </c>
      <c r="BW19" s="1">
        <v>27013</v>
      </c>
      <c r="BX19" s="1">
        <v>28248</v>
      </c>
      <c r="BY19" s="1">
        <v>10068</v>
      </c>
      <c r="BZ19" s="1">
        <v>9729</v>
      </c>
      <c r="CA19" s="1">
        <v>11204</v>
      </c>
      <c r="CB19" s="1">
        <v>10874</v>
      </c>
      <c r="CC19" s="1">
        <v>11450</v>
      </c>
      <c r="CD19" s="1">
        <v>11368</v>
      </c>
      <c r="CE19" s="1">
        <v>11536</v>
      </c>
      <c r="CF19" s="1">
        <v>13024</v>
      </c>
      <c r="CG19" s="1">
        <v>14158</v>
      </c>
      <c r="CH19" s="1">
        <v>15068</v>
      </c>
      <c r="CI19" s="1">
        <v>15626</v>
      </c>
      <c r="CJ19" s="1">
        <v>16599</v>
      </c>
      <c r="CK19" s="1">
        <v>16194</v>
      </c>
      <c r="CL19" s="1">
        <v>16147</v>
      </c>
      <c r="CM19" s="1">
        <v>17431</v>
      </c>
      <c r="CN19" s="1">
        <v>18128</v>
      </c>
      <c r="CO19" s="1">
        <v>20133</v>
      </c>
      <c r="CP19" s="1">
        <v>20835</v>
      </c>
      <c r="CQ19" s="1">
        <v>21174</v>
      </c>
      <c r="CR19" s="1">
        <v>21418</v>
      </c>
      <c r="CS19" s="1">
        <v>21479</v>
      </c>
      <c r="CT19" s="1">
        <v>28703</v>
      </c>
      <c r="CU19" s="1">
        <v>28563</v>
      </c>
      <c r="CV19" s="1">
        <v>24980</v>
      </c>
      <c r="CW19" s="1">
        <v>24546</v>
      </c>
      <c r="CX19" s="1">
        <v>9566</v>
      </c>
      <c r="CY19" s="1">
        <v>8954</v>
      </c>
      <c r="CZ19" s="1">
        <v>10274</v>
      </c>
      <c r="DA19" s="1">
        <v>9537</v>
      </c>
      <c r="DB19" s="1">
        <v>9537</v>
      </c>
      <c r="DC19" s="1">
        <v>9953</v>
      </c>
      <c r="DD19" s="1">
        <v>9737</v>
      </c>
      <c r="DE19" s="1">
        <v>11773</v>
      </c>
      <c r="DF19" s="1">
        <v>12324</v>
      </c>
      <c r="DG19" s="1">
        <v>13140</v>
      </c>
      <c r="DH19" s="1">
        <v>14494</v>
      </c>
      <c r="DI19" s="1">
        <v>15370</v>
      </c>
      <c r="DJ19" s="1">
        <v>15204</v>
      </c>
      <c r="DK19" s="1">
        <v>16487</v>
      </c>
      <c r="DL19" s="1">
        <v>17124</v>
      </c>
      <c r="DM19" s="1">
        <v>17545</v>
      </c>
      <c r="DN19" s="1">
        <v>19573</v>
      </c>
      <c r="DO19" s="1">
        <v>20712</v>
      </c>
      <c r="DP19" s="1">
        <v>20935</v>
      </c>
      <c r="DQ19" s="1">
        <v>21143</v>
      </c>
      <c r="DR19" s="1">
        <v>21126</v>
      </c>
      <c r="DS19" s="1">
        <v>25056</v>
      </c>
      <c r="DT19" s="1">
        <v>25538</v>
      </c>
      <c r="DU19" s="1">
        <v>22616</v>
      </c>
      <c r="DV19" s="1">
        <v>23596</v>
      </c>
    </row>
    <row r="20" spans="1:126" x14ac:dyDescent="0.25">
      <c r="A20" t="s">
        <v>24</v>
      </c>
      <c r="B20" s="1">
        <v>4226</v>
      </c>
      <c r="C20" s="1">
        <v>5673</v>
      </c>
      <c r="D20" s="1">
        <v>4466</v>
      </c>
      <c r="E20" s="1">
        <v>4701</v>
      </c>
      <c r="F20" s="1">
        <v>4592</v>
      </c>
      <c r="G20" s="1">
        <v>4671</v>
      </c>
      <c r="H20" s="1">
        <v>5457</v>
      </c>
      <c r="I20" s="1">
        <v>5397</v>
      </c>
      <c r="J20" s="1">
        <v>6275</v>
      </c>
      <c r="K20" s="1">
        <v>6176</v>
      </c>
      <c r="L20" s="1">
        <v>5722</v>
      </c>
      <c r="M20" s="1">
        <v>5578</v>
      </c>
      <c r="N20" s="1">
        <v>6018</v>
      </c>
      <c r="O20" s="1">
        <v>5705</v>
      </c>
      <c r="P20" s="1">
        <v>6229</v>
      </c>
      <c r="Q20" s="1">
        <v>6059</v>
      </c>
      <c r="R20" s="1">
        <v>6204</v>
      </c>
      <c r="S20" s="1">
        <v>6912</v>
      </c>
      <c r="T20" s="1">
        <v>7527</v>
      </c>
      <c r="U20" s="1">
        <v>8009</v>
      </c>
      <c r="V20" s="1">
        <v>8172</v>
      </c>
      <c r="W20" s="1">
        <v>8337</v>
      </c>
      <c r="X20" s="1">
        <v>9076</v>
      </c>
      <c r="Y20" s="1">
        <v>9280</v>
      </c>
      <c r="Z20" s="1">
        <v>10330</v>
      </c>
      <c r="AA20" s="1">
        <v>8923</v>
      </c>
      <c r="AB20" s="1">
        <v>10170</v>
      </c>
      <c r="AC20" s="1">
        <v>9759</v>
      </c>
      <c r="AD20" s="1">
        <v>9475</v>
      </c>
      <c r="AE20" s="1">
        <v>9532</v>
      </c>
      <c r="AF20" s="1">
        <v>10034</v>
      </c>
      <c r="AG20" s="1">
        <v>10805</v>
      </c>
      <c r="AH20" s="1">
        <v>11440</v>
      </c>
      <c r="AI20" s="1">
        <v>12423</v>
      </c>
      <c r="AJ20" s="1">
        <v>12326</v>
      </c>
      <c r="AK20" s="1">
        <v>10880</v>
      </c>
      <c r="AL20" s="1">
        <v>10929</v>
      </c>
      <c r="AM20" s="1">
        <v>11398</v>
      </c>
      <c r="AN20" s="1">
        <v>13154</v>
      </c>
      <c r="AO20" s="1">
        <v>12525</v>
      </c>
      <c r="AP20" s="1">
        <v>13727</v>
      </c>
      <c r="AQ20" s="1">
        <v>13881</v>
      </c>
      <c r="AR20" s="1">
        <v>14750</v>
      </c>
      <c r="AS20" s="1">
        <v>14371</v>
      </c>
      <c r="AT20" s="1">
        <v>14344</v>
      </c>
      <c r="AU20" s="1">
        <v>14719</v>
      </c>
      <c r="AV20" s="1">
        <v>14304</v>
      </c>
      <c r="AW20" s="1">
        <v>17179</v>
      </c>
      <c r="AX20" s="1">
        <v>17599</v>
      </c>
      <c r="AY20" s="1">
        <v>17871</v>
      </c>
      <c r="AZ20" s="1">
        <v>17776</v>
      </c>
      <c r="BA20" s="1">
        <v>17799</v>
      </c>
      <c r="BB20" s="1">
        <v>18465</v>
      </c>
      <c r="BC20" s="1">
        <v>17341</v>
      </c>
      <c r="BD20" s="1">
        <v>18526</v>
      </c>
      <c r="BE20" s="1">
        <v>19520</v>
      </c>
      <c r="BF20" s="1">
        <v>20344</v>
      </c>
      <c r="BG20" s="1">
        <v>20922</v>
      </c>
      <c r="BH20" s="1">
        <v>21394</v>
      </c>
      <c r="BI20" s="1">
        <v>22601</v>
      </c>
      <c r="BJ20" s="1">
        <v>21458</v>
      </c>
      <c r="BK20" s="1">
        <v>21835</v>
      </c>
      <c r="BL20" s="1">
        <v>23298</v>
      </c>
      <c r="BM20" s="1">
        <v>24696</v>
      </c>
      <c r="BN20" s="1">
        <v>24549</v>
      </c>
      <c r="BO20" s="1">
        <v>25414</v>
      </c>
      <c r="BP20" s="1">
        <v>27466</v>
      </c>
      <c r="BQ20" s="1">
        <v>28005</v>
      </c>
      <c r="BR20" s="1">
        <v>27432</v>
      </c>
      <c r="BS20" s="1">
        <v>27710</v>
      </c>
      <c r="BT20" s="1">
        <v>28326</v>
      </c>
      <c r="BU20" s="1">
        <v>28164</v>
      </c>
      <c r="BV20" s="1">
        <v>31797</v>
      </c>
      <c r="BW20" s="1">
        <v>32807</v>
      </c>
      <c r="BX20" s="1">
        <v>33768</v>
      </c>
      <c r="BY20" s="1">
        <v>28267</v>
      </c>
      <c r="BZ20" s="1">
        <v>28304</v>
      </c>
      <c r="CA20" s="1">
        <v>29235</v>
      </c>
      <c r="CB20" s="1">
        <v>28693</v>
      </c>
      <c r="CC20" s="1">
        <v>29505</v>
      </c>
      <c r="CD20" s="1">
        <v>30492</v>
      </c>
      <c r="CE20" s="1">
        <v>32429</v>
      </c>
      <c r="CF20" s="1">
        <v>33585</v>
      </c>
      <c r="CG20" s="1">
        <v>35687</v>
      </c>
      <c r="CH20" s="1">
        <v>36178</v>
      </c>
      <c r="CI20" s="1">
        <v>35247</v>
      </c>
      <c r="CJ20" s="1">
        <v>35479</v>
      </c>
      <c r="CK20" s="1">
        <v>37648</v>
      </c>
      <c r="CL20" s="1">
        <v>39510</v>
      </c>
      <c r="CM20" s="1">
        <v>41322</v>
      </c>
      <c r="CN20" s="1">
        <v>42022</v>
      </c>
      <c r="CO20" s="1">
        <v>43078</v>
      </c>
      <c r="CP20" s="1">
        <v>43948</v>
      </c>
      <c r="CQ20" s="1">
        <v>44141</v>
      </c>
      <c r="CR20" s="1">
        <v>45767</v>
      </c>
      <c r="CS20" s="1">
        <v>46939</v>
      </c>
      <c r="CT20" s="1">
        <v>46122</v>
      </c>
      <c r="CU20" s="1">
        <v>48450</v>
      </c>
      <c r="CV20" s="1">
        <v>51479</v>
      </c>
      <c r="CW20" s="1">
        <v>54126</v>
      </c>
      <c r="CX20" s="1">
        <v>51853</v>
      </c>
      <c r="CY20" s="1">
        <v>55119</v>
      </c>
      <c r="CZ20" s="1">
        <v>55659</v>
      </c>
      <c r="DA20" s="1">
        <v>54654</v>
      </c>
      <c r="DB20" s="1">
        <v>55697</v>
      </c>
      <c r="DC20" s="1">
        <v>59605</v>
      </c>
      <c r="DD20" s="1">
        <v>63375</v>
      </c>
      <c r="DE20" s="1">
        <v>66466</v>
      </c>
      <c r="DF20" s="1">
        <v>71704</v>
      </c>
      <c r="DG20" s="1">
        <v>70837</v>
      </c>
      <c r="DH20" s="1">
        <v>67718</v>
      </c>
      <c r="DI20" s="1">
        <v>67095</v>
      </c>
      <c r="DJ20" s="1">
        <v>71294</v>
      </c>
      <c r="DK20" s="1">
        <v>73169</v>
      </c>
      <c r="DL20" s="1">
        <v>74470</v>
      </c>
      <c r="DM20" s="1">
        <v>77338</v>
      </c>
      <c r="DN20" s="1">
        <v>81291</v>
      </c>
      <c r="DO20" s="1">
        <v>80511</v>
      </c>
      <c r="DP20" s="1">
        <v>82398</v>
      </c>
      <c r="DQ20" s="1">
        <v>85831</v>
      </c>
      <c r="DR20" s="1">
        <v>87087</v>
      </c>
      <c r="DS20" s="1">
        <v>88528</v>
      </c>
      <c r="DT20" s="1">
        <v>97261</v>
      </c>
      <c r="DU20" s="1">
        <v>99576</v>
      </c>
      <c r="DV20" s="1">
        <v>105162</v>
      </c>
    </row>
    <row r="21" spans="1:126" x14ac:dyDescent="0.25">
      <c r="A21" t="s">
        <v>25</v>
      </c>
      <c r="B21" s="1">
        <v>24102</v>
      </c>
      <c r="C21" s="1">
        <v>25810</v>
      </c>
      <c r="D21" s="1">
        <v>25104</v>
      </c>
      <c r="E21" s="1">
        <v>27210</v>
      </c>
      <c r="F21" s="1">
        <v>27705</v>
      </c>
      <c r="G21" s="1">
        <v>29959</v>
      </c>
      <c r="H21" s="1">
        <v>32395</v>
      </c>
      <c r="I21" s="1">
        <v>35870</v>
      </c>
      <c r="J21" s="1">
        <v>37586</v>
      </c>
      <c r="K21" s="1">
        <v>39192</v>
      </c>
      <c r="L21" s="1">
        <v>38581</v>
      </c>
      <c r="M21" s="1">
        <v>40596</v>
      </c>
      <c r="N21" s="1">
        <v>40836</v>
      </c>
      <c r="O21" s="1">
        <v>42656</v>
      </c>
      <c r="P21" s="1">
        <v>44572</v>
      </c>
      <c r="Q21" s="1">
        <v>46450</v>
      </c>
      <c r="R21" s="1">
        <v>47229</v>
      </c>
      <c r="S21" s="1">
        <v>48530</v>
      </c>
      <c r="T21" s="1">
        <v>50146</v>
      </c>
      <c r="U21" s="1">
        <v>51713</v>
      </c>
      <c r="V21" s="1">
        <v>55544</v>
      </c>
      <c r="W21" s="1">
        <v>50287</v>
      </c>
      <c r="X21" s="1">
        <v>56338</v>
      </c>
      <c r="Y21" s="1">
        <v>60116</v>
      </c>
      <c r="Z21" s="1">
        <v>61968</v>
      </c>
      <c r="AA21" s="1">
        <v>35653</v>
      </c>
      <c r="AB21" s="1">
        <v>36532</v>
      </c>
      <c r="AC21" s="1">
        <v>37719</v>
      </c>
      <c r="AD21" s="1">
        <v>39584</v>
      </c>
      <c r="AE21" s="1">
        <v>40794</v>
      </c>
      <c r="AF21" s="1">
        <v>42638</v>
      </c>
      <c r="AG21" s="1">
        <v>44142</v>
      </c>
      <c r="AH21" s="1">
        <v>45967</v>
      </c>
      <c r="AI21" s="1">
        <v>49043</v>
      </c>
      <c r="AJ21" s="1">
        <v>50848</v>
      </c>
      <c r="AK21" s="1">
        <v>49921</v>
      </c>
      <c r="AL21" s="1">
        <v>51589</v>
      </c>
      <c r="AM21" s="1">
        <v>52826</v>
      </c>
      <c r="AN21" s="1">
        <v>53970</v>
      </c>
      <c r="AO21" s="1">
        <v>54322</v>
      </c>
      <c r="AP21" s="1">
        <v>56149</v>
      </c>
      <c r="AQ21" s="1">
        <v>58097</v>
      </c>
      <c r="AR21" s="1">
        <v>59080</v>
      </c>
      <c r="AS21" s="1">
        <v>60754</v>
      </c>
      <c r="AT21" s="1">
        <v>63111</v>
      </c>
      <c r="AU21" s="1">
        <v>65844</v>
      </c>
      <c r="AV21" s="1">
        <v>61676</v>
      </c>
      <c r="AW21" s="1">
        <v>67694</v>
      </c>
      <c r="AX21" s="1">
        <v>72387</v>
      </c>
      <c r="AY21" s="1">
        <v>75118</v>
      </c>
      <c r="AZ21" s="1">
        <v>45044</v>
      </c>
      <c r="BA21" s="1">
        <v>46513</v>
      </c>
      <c r="BB21" s="1">
        <v>48811</v>
      </c>
      <c r="BC21" s="1">
        <v>50036</v>
      </c>
      <c r="BD21" s="1">
        <v>51391</v>
      </c>
      <c r="BE21" s="1">
        <v>52277</v>
      </c>
      <c r="BF21" s="1">
        <v>54391</v>
      </c>
      <c r="BG21" s="1">
        <v>56189</v>
      </c>
      <c r="BH21" s="1">
        <v>58169</v>
      </c>
      <c r="BI21" s="1">
        <v>59297</v>
      </c>
      <c r="BJ21" s="1">
        <v>59069</v>
      </c>
      <c r="BK21" s="1">
        <v>61799</v>
      </c>
      <c r="BL21" s="1">
        <v>63688</v>
      </c>
      <c r="BM21" s="1">
        <v>65575</v>
      </c>
      <c r="BN21" s="1">
        <v>66820</v>
      </c>
      <c r="BO21" s="1">
        <v>70253</v>
      </c>
      <c r="BP21" s="1">
        <v>71629</v>
      </c>
      <c r="BQ21" s="1">
        <v>72369</v>
      </c>
      <c r="BR21" s="1">
        <v>74090</v>
      </c>
      <c r="BS21" s="1">
        <v>76698</v>
      </c>
      <c r="BT21" s="1">
        <v>78509</v>
      </c>
      <c r="BU21" s="1">
        <v>74897</v>
      </c>
      <c r="BV21" s="1">
        <v>82502</v>
      </c>
      <c r="BW21" s="1">
        <v>88863</v>
      </c>
      <c r="BX21" s="1">
        <v>91266</v>
      </c>
      <c r="BY21" s="1">
        <v>53527</v>
      </c>
      <c r="BZ21" s="1">
        <v>56197</v>
      </c>
      <c r="CA21" s="1">
        <v>58443</v>
      </c>
      <c r="CB21" s="1">
        <v>60269</v>
      </c>
      <c r="CC21" s="1">
        <v>63583</v>
      </c>
      <c r="CD21" s="1">
        <v>63006</v>
      </c>
      <c r="CE21" s="1">
        <v>65997</v>
      </c>
      <c r="CF21" s="1">
        <v>67937</v>
      </c>
      <c r="CG21" s="1">
        <v>70541</v>
      </c>
      <c r="CH21" s="1">
        <v>73010</v>
      </c>
      <c r="CI21" s="1">
        <v>72672</v>
      </c>
      <c r="CJ21" s="1">
        <v>75484</v>
      </c>
      <c r="CK21" s="1">
        <v>78677</v>
      </c>
      <c r="CL21" s="1">
        <v>78788</v>
      </c>
      <c r="CM21" s="1">
        <v>82191</v>
      </c>
      <c r="CN21" s="1">
        <v>83804</v>
      </c>
      <c r="CO21" s="1">
        <v>86323</v>
      </c>
      <c r="CP21" s="1">
        <v>87962</v>
      </c>
      <c r="CQ21" s="1">
        <v>90370</v>
      </c>
      <c r="CR21" s="1">
        <v>91346</v>
      </c>
      <c r="CS21" s="1">
        <v>91588</v>
      </c>
      <c r="CT21" s="1">
        <v>86472</v>
      </c>
      <c r="CU21" s="1">
        <v>94032</v>
      </c>
      <c r="CV21" s="1">
        <v>99956</v>
      </c>
      <c r="CW21" s="1">
        <v>103168</v>
      </c>
      <c r="CX21" s="1">
        <v>75203</v>
      </c>
      <c r="CY21" s="1">
        <v>79655</v>
      </c>
      <c r="CZ21" s="1">
        <v>81051</v>
      </c>
      <c r="DA21" s="1">
        <v>84998</v>
      </c>
      <c r="DB21" s="1">
        <v>87129</v>
      </c>
      <c r="DC21" s="1">
        <v>91512</v>
      </c>
      <c r="DD21" s="1">
        <v>94322</v>
      </c>
      <c r="DE21" s="1">
        <v>96839</v>
      </c>
      <c r="DF21" s="1">
        <v>101472</v>
      </c>
      <c r="DG21" s="1">
        <v>103040</v>
      </c>
      <c r="DH21" s="1">
        <v>102500</v>
      </c>
      <c r="DI21" s="1">
        <v>105584</v>
      </c>
      <c r="DJ21" s="1">
        <v>107597</v>
      </c>
      <c r="DK21" s="1">
        <v>110226</v>
      </c>
      <c r="DL21" s="1">
        <v>112898</v>
      </c>
      <c r="DM21" s="1">
        <v>116650</v>
      </c>
      <c r="DN21" s="1">
        <v>120047</v>
      </c>
      <c r="DO21" s="1">
        <v>122019</v>
      </c>
      <c r="DP21" s="1">
        <v>125567</v>
      </c>
      <c r="DQ21" s="1">
        <v>126648</v>
      </c>
      <c r="DR21" s="1">
        <v>123890</v>
      </c>
      <c r="DS21" s="1">
        <v>115968</v>
      </c>
      <c r="DT21" s="1">
        <v>122068</v>
      </c>
      <c r="DU21" s="1">
        <v>132591</v>
      </c>
      <c r="DV21" s="1">
        <v>137015</v>
      </c>
    </row>
    <row r="22" spans="1:126" x14ac:dyDescent="0.25">
      <c r="A22" t="s">
        <v>26</v>
      </c>
      <c r="B22" s="1">
        <v>3300</v>
      </c>
      <c r="C22" s="1">
        <v>3356</v>
      </c>
      <c r="D22" s="1">
        <v>3392</v>
      </c>
      <c r="E22" s="1">
        <v>3591</v>
      </c>
      <c r="F22" s="1">
        <v>3613</v>
      </c>
      <c r="G22" s="1">
        <v>3811</v>
      </c>
      <c r="H22" s="1">
        <v>3932</v>
      </c>
      <c r="I22" s="1">
        <v>4292</v>
      </c>
      <c r="J22" s="1">
        <v>4285</v>
      </c>
      <c r="K22" s="1">
        <v>4554</v>
      </c>
      <c r="L22" s="1">
        <v>4697</v>
      </c>
      <c r="M22" s="1">
        <v>4738</v>
      </c>
      <c r="N22" s="1">
        <v>4722</v>
      </c>
      <c r="O22" s="1">
        <v>4917</v>
      </c>
      <c r="P22" s="1">
        <v>5049</v>
      </c>
      <c r="Q22" s="1">
        <v>5099</v>
      </c>
      <c r="R22" s="1">
        <v>5316</v>
      </c>
      <c r="S22" s="1">
        <v>5547</v>
      </c>
      <c r="T22" s="1">
        <v>5633</v>
      </c>
      <c r="U22" s="1">
        <v>5623</v>
      </c>
      <c r="V22" s="1">
        <v>5871</v>
      </c>
      <c r="W22" s="1">
        <v>6303</v>
      </c>
      <c r="X22" s="1">
        <v>6301</v>
      </c>
      <c r="Y22" s="1">
        <v>6532</v>
      </c>
      <c r="Z22" s="1">
        <v>6876</v>
      </c>
      <c r="AA22" s="1">
        <v>4231</v>
      </c>
      <c r="AB22" s="1">
        <v>4310</v>
      </c>
      <c r="AC22" s="1">
        <v>4550</v>
      </c>
      <c r="AD22" s="1">
        <v>4589</v>
      </c>
      <c r="AE22" s="1">
        <v>4796</v>
      </c>
      <c r="AF22" s="1">
        <v>4877</v>
      </c>
      <c r="AG22" s="1">
        <v>4967</v>
      </c>
      <c r="AH22" s="1">
        <v>5059</v>
      </c>
      <c r="AI22" s="1">
        <v>5277</v>
      </c>
      <c r="AJ22" s="1">
        <v>5400</v>
      </c>
      <c r="AK22" s="1">
        <v>5699</v>
      </c>
      <c r="AL22" s="1">
        <v>5710</v>
      </c>
      <c r="AM22" s="1">
        <v>5811</v>
      </c>
      <c r="AN22" s="1">
        <v>5848</v>
      </c>
      <c r="AO22" s="1">
        <v>5807</v>
      </c>
      <c r="AP22" s="1">
        <v>5944</v>
      </c>
      <c r="AQ22" s="1">
        <v>6085</v>
      </c>
      <c r="AR22" s="1">
        <v>6242</v>
      </c>
      <c r="AS22" s="1">
        <v>6366</v>
      </c>
      <c r="AT22" s="1">
        <v>6411</v>
      </c>
      <c r="AU22" s="1">
        <v>6765</v>
      </c>
      <c r="AV22" s="1">
        <v>7443</v>
      </c>
      <c r="AW22" s="1">
        <v>7599</v>
      </c>
      <c r="AX22" s="1">
        <v>7890</v>
      </c>
      <c r="AY22" s="1">
        <v>8272</v>
      </c>
      <c r="AZ22" s="1">
        <v>4715</v>
      </c>
      <c r="BA22" s="1">
        <v>4794</v>
      </c>
      <c r="BB22" s="1">
        <v>5008</v>
      </c>
      <c r="BC22" s="1">
        <v>5084</v>
      </c>
      <c r="BD22" s="1">
        <v>5210</v>
      </c>
      <c r="BE22" s="1">
        <v>5448</v>
      </c>
      <c r="BF22" s="1">
        <v>5490</v>
      </c>
      <c r="BG22" s="1">
        <v>5538</v>
      </c>
      <c r="BH22" s="1">
        <v>5636</v>
      </c>
      <c r="BI22" s="1">
        <v>5753</v>
      </c>
      <c r="BJ22" s="1">
        <v>6113</v>
      </c>
      <c r="BK22" s="1">
        <v>6156</v>
      </c>
      <c r="BL22" s="1">
        <v>6100</v>
      </c>
      <c r="BM22" s="1">
        <v>6375</v>
      </c>
      <c r="BN22" s="1">
        <v>6533</v>
      </c>
      <c r="BO22" s="1">
        <v>7039</v>
      </c>
      <c r="BP22" s="1">
        <v>7278</v>
      </c>
      <c r="BQ22" s="1">
        <v>7228</v>
      </c>
      <c r="BR22" s="1">
        <v>7521</v>
      </c>
      <c r="BS22" s="1">
        <v>7482</v>
      </c>
      <c r="BT22" s="1">
        <v>7625</v>
      </c>
      <c r="BU22" s="1">
        <v>8402</v>
      </c>
      <c r="BV22" s="1">
        <v>8712</v>
      </c>
      <c r="BW22" s="1">
        <v>8939</v>
      </c>
      <c r="BX22" s="1">
        <v>9429</v>
      </c>
      <c r="BY22" s="1">
        <v>4819</v>
      </c>
      <c r="BZ22" s="1">
        <v>5071</v>
      </c>
      <c r="CA22" s="1">
        <v>5311</v>
      </c>
      <c r="CB22" s="1">
        <v>5407</v>
      </c>
      <c r="CC22" s="1">
        <v>5742</v>
      </c>
      <c r="CD22" s="1">
        <v>5724</v>
      </c>
      <c r="CE22" s="1">
        <v>6023</v>
      </c>
      <c r="CF22" s="1">
        <v>6108</v>
      </c>
      <c r="CG22" s="1">
        <v>6259</v>
      </c>
      <c r="CH22" s="1">
        <v>6515</v>
      </c>
      <c r="CI22" s="1">
        <v>6801</v>
      </c>
      <c r="CJ22" s="1">
        <v>6921</v>
      </c>
      <c r="CK22" s="1">
        <v>7107</v>
      </c>
      <c r="CL22" s="1">
        <v>7061</v>
      </c>
      <c r="CM22" s="1">
        <v>7349</v>
      </c>
      <c r="CN22" s="1">
        <v>7520</v>
      </c>
      <c r="CO22" s="1">
        <v>7835</v>
      </c>
      <c r="CP22" s="1">
        <v>7907</v>
      </c>
      <c r="CQ22" s="1">
        <v>8050</v>
      </c>
      <c r="CR22" s="1">
        <v>7982</v>
      </c>
      <c r="CS22" s="1">
        <v>8145</v>
      </c>
      <c r="CT22" s="1">
        <v>8948</v>
      </c>
      <c r="CU22" s="1">
        <v>9437</v>
      </c>
      <c r="CV22" s="1">
        <v>9701</v>
      </c>
      <c r="CW22" s="1">
        <v>10204</v>
      </c>
      <c r="CX22" s="1">
        <v>5665</v>
      </c>
      <c r="CY22" s="1">
        <v>5923</v>
      </c>
      <c r="CZ22" s="1">
        <v>6107</v>
      </c>
      <c r="DA22" s="1">
        <v>6358</v>
      </c>
      <c r="DB22" s="1">
        <v>6320</v>
      </c>
      <c r="DC22" s="1">
        <v>6414</v>
      </c>
      <c r="DD22" s="1">
        <v>6416</v>
      </c>
      <c r="DE22" s="1">
        <v>6561</v>
      </c>
      <c r="DF22" s="1">
        <v>6880</v>
      </c>
      <c r="DG22" s="1">
        <v>7185</v>
      </c>
      <c r="DH22" s="1">
        <v>7499</v>
      </c>
      <c r="DI22" s="1">
        <v>7650</v>
      </c>
      <c r="DJ22" s="1">
        <v>7896</v>
      </c>
      <c r="DK22" s="1">
        <v>8040</v>
      </c>
      <c r="DL22" s="1">
        <v>8120</v>
      </c>
      <c r="DM22" s="1">
        <v>8308</v>
      </c>
      <c r="DN22" s="1">
        <v>8556</v>
      </c>
      <c r="DO22" s="1">
        <v>8615</v>
      </c>
      <c r="DP22" s="1">
        <v>8781</v>
      </c>
      <c r="DQ22" s="1">
        <v>8751</v>
      </c>
      <c r="DR22" s="1">
        <v>8602</v>
      </c>
      <c r="DS22" s="1">
        <v>9338</v>
      </c>
      <c r="DT22" s="1">
        <v>9033</v>
      </c>
      <c r="DU22" s="1">
        <v>9338</v>
      </c>
      <c r="DV22" s="1">
        <v>9834</v>
      </c>
    </row>
    <row r="23" spans="1:126" x14ac:dyDescent="0.25">
      <c r="A23" t="s">
        <v>27</v>
      </c>
      <c r="B23" s="1">
        <v>1193</v>
      </c>
      <c r="C23" s="1">
        <v>1227</v>
      </c>
      <c r="D23" s="1">
        <v>1232</v>
      </c>
      <c r="E23" s="1">
        <v>1364</v>
      </c>
      <c r="F23" s="1">
        <v>1546</v>
      </c>
      <c r="G23" s="1">
        <v>1589</v>
      </c>
      <c r="H23" s="1">
        <v>1617</v>
      </c>
      <c r="I23" s="1">
        <v>1703</v>
      </c>
      <c r="J23" s="1">
        <v>1745</v>
      </c>
      <c r="K23" s="1">
        <v>1754</v>
      </c>
      <c r="L23" s="1">
        <v>1753</v>
      </c>
      <c r="M23" s="1">
        <v>1770</v>
      </c>
      <c r="N23" s="1">
        <v>1668</v>
      </c>
      <c r="O23" s="1">
        <v>1707</v>
      </c>
      <c r="P23" s="1">
        <v>1710</v>
      </c>
      <c r="Q23" s="1">
        <v>1876</v>
      </c>
      <c r="R23" s="1">
        <v>2012</v>
      </c>
      <c r="S23" s="1">
        <v>2084</v>
      </c>
      <c r="T23" s="1">
        <v>2056</v>
      </c>
      <c r="U23" s="1">
        <v>2184</v>
      </c>
      <c r="V23" s="1">
        <v>2094</v>
      </c>
      <c r="W23" s="1">
        <v>2252</v>
      </c>
      <c r="X23" s="1">
        <v>2235</v>
      </c>
      <c r="Y23" s="1">
        <v>2170</v>
      </c>
      <c r="Z23" s="1">
        <v>2111</v>
      </c>
      <c r="AA23" s="1">
        <v>1802</v>
      </c>
      <c r="AB23" s="1">
        <v>1859</v>
      </c>
      <c r="AC23" s="1">
        <v>1909</v>
      </c>
      <c r="AD23" s="1">
        <v>2117</v>
      </c>
      <c r="AE23" s="1">
        <v>2207</v>
      </c>
      <c r="AF23" s="1">
        <v>2337</v>
      </c>
      <c r="AG23" s="1">
        <v>2255</v>
      </c>
      <c r="AH23" s="1">
        <v>2167</v>
      </c>
      <c r="AI23" s="1">
        <v>2214</v>
      </c>
      <c r="AJ23" s="1">
        <v>2172</v>
      </c>
      <c r="AK23" s="1">
        <v>2203</v>
      </c>
      <c r="AL23" s="1">
        <v>2269</v>
      </c>
      <c r="AM23" s="1">
        <v>2286</v>
      </c>
      <c r="AN23" s="1">
        <v>2458</v>
      </c>
      <c r="AO23" s="1">
        <v>2375</v>
      </c>
      <c r="AP23" s="1">
        <v>2542</v>
      </c>
      <c r="AQ23" s="1">
        <v>2528</v>
      </c>
      <c r="AR23" s="1">
        <v>2476</v>
      </c>
      <c r="AS23" s="1">
        <v>2494</v>
      </c>
      <c r="AT23" s="1">
        <v>2663</v>
      </c>
      <c r="AU23" s="1">
        <v>2871</v>
      </c>
      <c r="AV23" s="1">
        <v>2623</v>
      </c>
      <c r="AW23" s="1">
        <v>2613</v>
      </c>
      <c r="AX23" s="1">
        <v>2652</v>
      </c>
      <c r="AY23" s="1">
        <v>2550</v>
      </c>
      <c r="AZ23" s="1">
        <v>2192</v>
      </c>
      <c r="BA23" s="1">
        <v>2206</v>
      </c>
      <c r="BB23" s="1">
        <v>2390</v>
      </c>
      <c r="BC23" s="1">
        <v>2643</v>
      </c>
      <c r="BD23" s="1">
        <v>2762</v>
      </c>
      <c r="BE23" s="1">
        <v>2746</v>
      </c>
      <c r="BF23" s="1">
        <v>2672</v>
      </c>
      <c r="BG23" s="1">
        <v>2685</v>
      </c>
      <c r="BH23" s="1">
        <v>2668</v>
      </c>
      <c r="BI23" s="1">
        <v>2728</v>
      </c>
      <c r="BJ23" s="1">
        <v>2626</v>
      </c>
      <c r="BK23" s="1">
        <v>2713</v>
      </c>
      <c r="BL23" s="1">
        <v>2671</v>
      </c>
      <c r="BM23" s="1">
        <v>2735</v>
      </c>
      <c r="BN23" s="1">
        <v>2789</v>
      </c>
      <c r="BO23" s="1">
        <v>2884</v>
      </c>
      <c r="BP23" s="1">
        <v>2840</v>
      </c>
      <c r="BQ23" s="1">
        <v>2886</v>
      </c>
      <c r="BR23" s="1">
        <v>2951</v>
      </c>
      <c r="BS23" s="1">
        <v>3192</v>
      </c>
      <c r="BT23" s="1">
        <v>2880</v>
      </c>
      <c r="BU23" s="1">
        <v>3475</v>
      </c>
      <c r="BV23" s="1">
        <v>3649</v>
      </c>
      <c r="BW23" s="1">
        <v>3391</v>
      </c>
      <c r="BX23" s="1">
        <v>3275</v>
      </c>
      <c r="BY23" s="1">
        <v>2417</v>
      </c>
      <c r="BZ23" s="1">
        <v>2477</v>
      </c>
      <c r="CA23" s="1">
        <v>2641</v>
      </c>
      <c r="CB23" s="1">
        <v>2858</v>
      </c>
      <c r="CC23" s="1">
        <v>2993</v>
      </c>
      <c r="CD23" s="1">
        <v>3002</v>
      </c>
      <c r="CE23" s="1">
        <v>2974</v>
      </c>
      <c r="CF23" s="1">
        <v>2923</v>
      </c>
      <c r="CG23" s="1">
        <v>2981</v>
      </c>
      <c r="CH23" s="1">
        <v>2981</v>
      </c>
      <c r="CI23" s="1">
        <v>3027</v>
      </c>
      <c r="CJ23" s="1">
        <v>3047</v>
      </c>
      <c r="CK23" s="1">
        <v>3156</v>
      </c>
      <c r="CL23" s="1">
        <v>3034</v>
      </c>
      <c r="CM23" s="1">
        <v>3127</v>
      </c>
      <c r="CN23" s="1">
        <v>3187</v>
      </c>
      <c r="CO23" s="1">
        <v>3392</v>
      </c>
      <c r="CP23" s="1">
        <v>3405</v>
      </c>
      <c r="CQ23" s="1">
        <v>3360</v>
      </c>
      <c r="CR23" s="1">
        <v>3500</v>
      </c>
      <c r="CS23" s="1">
        <v>3502</v>
      </c>
      <c r="CT23" s="1">
        <v>3674</v>
      </c>
      <c r="CU23" s="1">
        <v>3710</v>
      </c>
      <c r="CV23" s="1">
        <v>3630</v>
      </c>
      <c r="CW23" s="1">
        <v>3517</v>
      </c>
      <c r="CX23" s="1">
        <v>2904</v>
      </c>
      <c r="CY23" s="1">
        <v>2992</v>
      </c>
      <c r="CZ23" s="1">
        <v>3141</v>
      </c>
      <c r="DA23" s="1">
        <v>3488</v>
      </c>
      <c r="DB23" s="1">
        <v>3636</v>
      </c>
      <c r="DC23" s="1">
        <v>3652</v>
      </c>
      <c r="DD23" s="1">
        <v>3694</v>
      </c>
      <c r="DE23" s="1">
        <v>3606</v>
      </c>
      <c r="DF23" s="1">
        <v>3525</v>
      </c>
      <c r="DG23" s="1">
        <v>3552</v>
      </c>
      <c r="DH23" s="1">
        <v>3581</v>
      </c>
      <c r="DI23" s="1">
        <v>3751</v>
      </c>
      <c r="DJ23" s="1">
        <v>3900</v>
      </c>
      <c r="DK23" s="1">
        <v>4081</v>
      </c>
      <c r="DL23" s="1">
        <v>4139</v>
      </c>
      <c r="DM23" s="1">
        <v>3962</v>
      </c>
      <c r="DN23" s="1">
        <v>4038</v>
      </c>
      <c r="DO23" s="1">
        <v>4199</v>
      </c>
      <c r="DP23" s="1">
        <v>4184</v>
      </c>
      <c r="DQ23" s="1">
        <v>4274</v>
      </c>
      <c r="DR23" s="1">
        <v>4167</v>
      </c>
      <c r="DS23" s="1">
        <v>4228</v>
      </c>
      <c r="DT23" s="1">
        <v>4115</v>
      </c>
      <c r="DU23" s="1">
        <v>3951</v>
      </c>
      <c r="DV23" s="1">
        <v>3803</v>
      </c>
    </row>
    <row r="24" spans="1:126" x14ac:dyDescent="0.25">
      <c r="A24" t="s">
        <v>28</v>
      </c>
      <c r="B24" s="1">
        <v>1075</v>
      </c>
      <c r="C24" s="1">
        <v>1157</v>
      </c>
      <c r="D24" s="1">
        <v>1200</v>
      </c>
      <c r="E24" s="1">
        <v>1275</v>
      </c>
      <c r="F24" s="1">
        <v>1216</v>
      </c>
      <c r="G24" s="1">
        <v>1375</v>
      </c>
      <c r="H24" s="1">
        <v>1464</v>
      </c>
      <c r="I24" s="1">
        <v>1632</v>
      </c>
      <c r="J24" s="1">
        <v>1707</v>
      </c>
      <c r="K24" s="1">
        <v>1652</v>
      </c>
      <c r="L24" s="1">
        <v>1549</v>
      </c>
      <c r="M24" s="1">
        <v>1641</v>
      </c>
      <c r="N24" s="1">
        <v>1625</v>
      </c>
      <c r="O24" s="1">
        <v>1823</v>
      </c>
      <c r="P24" s="1">
        <v>1957</v>
      </c>
      <c r="Q24" s="1">
        <v>2018</v>
      </c>
      <c r="R24" s="1">
        <v>2173</v>
      </c>
      <c r="S24" s="1">
        <v>2280</v>
      </c>
      <c r="T24" s="1">
        <v>2268</v>
      </c>
      <c r="U24" s="1">
        <v>2904</v>
      </c>
      <c r="V24" s="1">
        <v>3308</v>
      </c>
      <c r="W24" s="1">
        <v>2351</v>
      </c>
      <c r="X24" s="1">
        <v>2645</v>
      </c>
      <c r="Y24" s="1">
        <v>3086</v>
      </c>
      <c r="Z24" s="1">
        <v>3130</v>
      </c>
      <c r="AA24" s="1">
        <v>1757</v>
      </c>
      <c r="AB24" s="1">
        <v>1737</v>
      </c>
      <c r="AC24" s="1">
        <v>1845</v>
      </c>
      <c r="AD24" s="1">
        <v>1903</v>
      </c>
      <c r="AE24" s="1">
        <v>1866</v>
      </c>
      <c r="AF24" s="1">
        <v>1923</v>
      </c>
      <c r="AG24" s="1">
        <v>1904</v>
      </c>
      <c r="AH24" s="1">
        <v>2000</v>
      </c>
      <c r="AI24" s="1">
        <v>2092</v>
      </c>
      <c r="AJ24" s="1">
        <v>2116</v>
      </c>
      <c r="AK24" s="1">
        <v>2016</v>
      </c>
      <c r="AL24" s="1">
        <v>2025</v>
      </c>
      <c r="AM24" s="1">
        <v>2220</v>
      </c>
      <c r="AN24" s="1">
        <v>2296</v>
      </c>
      <c r="AO24" s="1">
        <v>2253</v>
      </c>
      <c r="AP24" s="1">
        <v>2270</v>
      </c>
      <c r="AQ24" s="1">
        <v>2506</v>
      </c>
      <c r="AR24" s="1">
        <v>2548</v>
      </c>
      <c r="AS24" s="1">
        <v>2526</v>
      </c>
      <c r="AT24" s="1">
        <v>3114</v>
      </c>
      <c r="AU24" s="1">
        <v>3344</v>
      </c>
      <c r="AV24" s="1">
        <v>2352</v>
      </c>
      <c r="AW24" s="1">
        <v>2819</v>
      </c>
      <c r="AX24" s="1">
        <v>3262</v>
      </c>
      <c r="AY24" s="1">
        <v>3347</v>
      </c>
      <c r="AZ24" s="1">
        <v>2156</v>
      </c>
      <c r="BA24" s="1">
        <v>2196</v>
      </c>
      <c r="BB24" s="1">
        <v>2315</v>
      </c>
      <c r="BC24" s="1">
        <v>2300</v>
      </c>
      <c r="BD24" s="1">
        <v>2341</v>
      </c>
      <c r="BE24" s="1">
        <v>2400</v>
      </c>
      <c r="BF24" s="1">
        <v>2471</v>
      </c>
      <c r="BG24" s="1">
        <v>2522</v>
      </c>
      <c r="BH24" s="1">
        <v>2533</v>
      </c>
      <c r="BI24" s="1">
        <v>2474</v>
      </c>
      <c r="BJ24" s="1">
        <v>2435</v>
      </c>
      <c r="BK24" s="1">
        <v>2542</v>
      </c>
      <c r="BL24" s="1">
        <v>2663</v>
      </c>
      <c r="BM24" s="1">
        <v>2621</v>
      </c>
      <c r="BN24" s="1">
        <v>2654</v>
      </c>
      <c r="BO24" s="1">
        <v>2837</v>
      </c>
      <c r="BP24" s="1">
        <v>2952</v>
      </c>
      <c r="BQ24" s="1">
        <v>3024</v>
      </c>
      <c r="BR24" s="1">
        <v>3058</v>
      </c>
      <c r="BS24" s="1">
        <v>3731</v>
      </c>
      <c r="BT24" s="1">
        <v>3635</v>
      </c>
      <c r="BU24" s="1">
        <v>3133</v>
      </c>
      <c r="BV24" s="1">
        <v>3700</v>
      </c>
      <c r="BW24" s="1">
        <v>4352</v>
      </c>
      <c r="BX24" s="1">
        <v>4367</v>
      </c>
      <c r="BY24" s="1">
        <v>2662</v>
      </c>
      <c r="BZ24" s="1">
        <v>2848</v>
      </c>
      <c r="CA24" s="1">
        <v>2900</v>
      </c>
      <c r="CB24" s="1">
        <v>2930</v>
      </c>
      <c r="CC24" s="1">
        <v>3004</v>
      </c>
      <c r="CD24" s="1">
        <v>2873</v>
      </c>
      <c r="CE24" s="1">
        <v>2962</v>
      </c>
      <c r="CF24" s="1">
        <v>3041</v>
      </c>
      <c r="CG24" s="1">
        <v>3069</v>
      </c>
      <c r="CH24" s="1">
        <v>3111</v>
      </c>
      <c r="CI24" s="1">
        <v>3127</v>
      </c>
      <c r="CJ24" s="1">
        <v>3338</v>
      </c>
      <c r="CK24" s="1">
        <v>3254</v>
      </c>
      <c r="CL24" s="1">
        <v>3184</v>
      </c>
      <c r="CM24" s="1">
        <v>3228</v>
      </c>
      <c r="CN24" s="1">
        <v>3459</v>
      </c>
      <c r="CO24" s="1">
        <v>3624</v>
      </c>
      <c r="CP24" s="1">
        <v>3530</v>
      </c>
      <c r="CQ24" s="1">
        <v>3575</v>
      </c>
      <c r="CR24" s="1">
        <v>4390</v>
      </c>
      <c r="CS24" s="1">
        <v>4136</v>
      </c>
      <c r="CT24" s="1">
        <v>3351</v>
      </c>
      <c r="CU24" s="1">
        <v>3938</v>
      </c>
      <c r="CV24" s="1">
        <v>4522</v>
      </c>
      <c r="CW24" s="1">
        <v>4578</v>
      </c>
      <c r="CX24" s="1">
        <v>4029</v>
      </c>
      <c r="CY24" s="1">
        <v>4132</v>
      </c>
      <c r="CZ24" s="1">
        <v>4080</v>
      </c>
      <c r="DA24" s="1">
        <v>4102</v>
      </c>
      <c r="DB24" s="1">
        <v>4190</v>
      </c>
      <c r="DC24" s="1">
        <v>4188</v>
      </c>
      <c r="DD24" s="1">
        <v>4249</v>
      </c>
      <c r="DE24" s="1">
        <v>4355</v>
      </c>
      <c r="DF24" s="1">
        <v>4586</v>
      </c>
      <c r="DG24" s="1">
        <v>4539</v>
      </c>
      <c r="DH24" s="1">
        <v>4403</v>
      </c>
      <c r="DI24" s="1">
        <v>4437</v>
      </c>
      <c r="DJ24" s="1">
        <v>4461</v>
      </c>
      <c r="DK24" s="1">
        <v>4546</v>
      </c>
      <c r="DL24" s="1">
        <v>4630</v>
      </c>
      <c r="DM24" s="1">
        <v>4752</v>
      </c>
      <c r="DN24" s="1">
        <v>4904</v>
      </c>
      <c r="DO24" s="1">
        <v>4801</v>
      </c>
      <c r="DP24" s="1">
        <v>4917</v>
      </c>
      <c r="DQ24" s="1">
        <v>6004</v>
      </c>
      <c r="DR24" s="1">
        <v>5879</v>
      </c>
      <c r="DS24" s="1">
        <v>5055</v>
      </c>
      <c r="DT24" s="1">
        <v>5714</v>
      </c>
      <c r="DU24" s="1">
        <v>6714</v>
      </c>
      <c r="DV24" s="1">
        <v>6843</v>
      </c>
    </row>
    <row r="25" spans="1:126" x14ac:dyDescent="0.25">
      <c r="A25" t="s">
        <v>29</v>
      </c>
      <c r="B25" s="1">
        <v>6446</v>
      </c>
      <c r="C25" s="1">
        <v>6648</v>
      </c>
      <c r="D25" s="1">
        <v>6668</v>
      </c>
      <c r="E25" s="1">
        <v>7182</v>
      </c>
      <c r="F25" s="1">
        <v>7450</v>
      </c>
      <c r="G25" s="1">
        <v>7901</v>
      </c>
      <c r="H25" s="1">
        <v>8168</v>
      </c>
      <c r="I25" s="1">
        <v>8787</v>
      </c>
      <c r="J25" s="1">
        <v>9231</v>
      </c>
      <c r="K25" s="1">
        <v>9866</v>
      </c>
      <c r="L25" s="1">
        <v>9900</v>
      </c>
      <c r="M25" s="1">
        <v>10685</v>
      </c>
      <c r="N25" s="1">
        <v>10755</v>
      </c>
      <c r="O25" s="1">
        <v>11160</v>
      </c>
      <c r="P25" s="1">
        <v>11595</v>
      </c>
      <c r="Q25" s="1">
        <v>12190</v>
      </c>
      <c r="R25" s="1">
        <v>12451</v>
      </c>
      <c r="S25" s="1">
        <v>12652</v>
      </c>
      <c r="T25" s="1">
        <v>12958</v>
      </c>
      <c r="U25" s="1">
        <v>11947</v>
      </c>
      <c r="V25" s="1">
        <v>12166</v>
      </c>
      <c r="W25" s="1">
        <v>12884</v>
      </c>
      <c r="X25" s="1">
        <v>13608</v>
      </c>
      <c r="Y25" s="1">
        <v>14231</v>
      </c>
      <c r="Z25" s="1">
        <v>15022</v>
      </c>
      <c r="AA25" s="1">
        <v>8726</v>
      </c>
      <c r="AB25" s="1">
        <v>8825</v>
      </c>
      <c r="AC25" s="1">
        <v>9009</v>
      </c>
      <c r="AD25" s="1">
        <v>9650</v>
      </c>
      <c r="AE25" s="1">
        <v>9975</v>
      </c>
      <c r="AF25" s="1">
        <v>10220</v>
      </c>
      <c r="AG25" s="1">
        <v>10586</v>
      </c>
      <c r="AH25" s="1">
        <v>10728</v>
      </c>
      <c r="AI25" s="1">
        <v>11505</v>
      </c>
      <c r="AJ25" s="1">
        <v>12125</v>
      </c>
      <c r="AK25" s="1">
        <v>12207</v>
      </c>
      <c r="AL25" s="1">
        <v>12468</v>
      </c>
      <c r="AM25" s="1">
        <v>12986</v>
      </c>
      <c r="AN25" s="1">
        <v>13093</v>
      </c>
      <c r="AO25" s="1">
        <v>13465</v>
      </c>
      <c r="AP25" s="1">
        <v>13883</v>
      </c>
      <c r="AQ25" s="1">
        <v>14429</v>
      </c>
      <c r="AR25" s="1">
        <v>14731</v>
      </c>
      <c r="AS25" s="1">
        <v>14759</v>
      </c>
      <c r="AT25" s="1">
        <v>14101</v>
      </c>
      <c r="AU25" s="1">
        <v>14800</v>
      </c>
      <c r="AV25" s="1">
        <v>15689</v>
      </c>
      <c r="AW25" s="1">
        <v>16464</v>
      </c>
      <c r="AX25" s="1">
        <v>17151</v>
      </c>
      <c r="AY25" s="1">
        <v>18068</v>
      </c>
      <c r="AZ25" s="1">
        <v>10314</v>
      </c>
      <c r="BA25" s="1">
        <v>10881</v>
      </c>
      <c r="BB25" s="1">
        <v>11387</v>
      </c>
      <c r="BC25" s="1">
        <v>11261</v>
      </c>
      <c r="BD25" s="1">
        <v>11794</v>
      </c>
      <c r="BE25" s="1">
        <v>11946</v>
      </c>
      <c r="BF25" s="1">
        <v>12439</v>
      </c>
      <c r="BG25" s="1">
        <v>12552</v>
      </c>
      <c r="BH25" s="1">
        <v>13265</v>
      </c>
      <c r="BI25" s="1">
        <v>13678</v>
      </c>
      <c r="BJ25" s="1">
        <v>13810</v>
      </c>
      <c r="BK25" s="1">
        <v>14523</v>
      </c>
      <c r="BL25" s="1">
        <v>14814</v>
      </c>
      <c r="BM25" s="1">
        <v>15137</v>
      </c>
      <c r="BN25" s="1">
        <v>15793</v>
      </c>
      <c r="BO25" s="1">
        <v>16512</v>
      </c>
      <c r="BP25" s="1">
        <v>17060</v>
      </c>
      <c r="BQ25" s="1">
        <v>17196</v>
      </c>
      <c r="BR25" s="1">
        <v>17488</v>
      </c>
      <c r="BS25" s="1">
        <v>16489</v>
      </c>
      <c r="BT25" s="1">
        <v>17610</v>
      </c>
      <c r="BU25" s="1">
        <v>18670</v>
      </c>
      <c r="BV25" s="1">
        <v>19852</v>
      </c>
      <c r="BW25" s="1">
        <v>20598</v>
      </c>
      <c r="BX25" s="1">
        <v>21737</v>
      </c>
      <c r="BY25" s="1">
        <v>11969</v>
      </c>
      <c r="BZ25" s="1">
        <v>12412</v>
      </c>
      <c r="CA25" s="1">
        <v>12736</v>
      </c>
      <c r="CB25" s="1">
        <v>13044</v>
      </c>
      <c r="CC25" s="1">
        <v>13823</v>
      </c>
      <c r="CD25" s="1">
        <v>13754</v>
      </c>
      <c r="CE25" s="1">
        <v>14272</v>
      </c>
      <c r="CF25" s="1">
        <v>14717</v>
      </c>
      <c r="CG25" s="1">
        <v>15383</v>
      </c>
      <c r="CH25" s="1">
        <v>16234</v>
      </c>
      <c r="CI25" s="1">
        <v>16684</v>
      </c>
      <c r="CJ25" s="1">
        <v>16722</v>
      </c>
      <c r="CK25" s="1">
        <v>17397</v>
      </c>
      <c r="CL25" s="1">
        <v>17927</v>
      </c>
      <c r="CM25" s="1">
        <v>18887</v>
      </c>
      <c r="CN25" s="1">
        <v>19331</v>
      </c>
      <c r="CO25" s="1">
        <v>19706</v>
      </c>
      <c r="CP25" s="1">
        <v>20325</v>
      </c>
      <c r="CQ25" s="1">
        <v>21056</v>
      </c>
      <c r="CR25" s="1">
        <v>19417</v>
      </c>
      <c r="CS25" s="1">
        <v>19409</v>
      </c>
      <c r="CT25" s="1">
        <v>20078</v>
      </c>
      <c r="CU25" s="1">
        <v>21176</v>
      </c>
      <c r="CV25" s="1">
        <v>22180</v>
      </c>
      <c r="CW25" s="1">
        <v>23350</v>
      </c>
      <c r="CX25" s="1">
        <v>16322</v>
      </c>
      <c r="CY25" s="1">
        <v>16874</v>
      </c>
      <c r="CZ25" s="1">
        <v>17081</v>
      </c>
      <c r="DA25" s="1">
        <v>17347</v>
      </c>
      <c r="DB25" s="1">
        <v>17943</v>
      </c>
      <c r="DC25" s="1">
        <v>19043</v>
      </c>
      <c r="DD25" s="1">
        <v>19783</v>
      </c>
      <c r="DE25" s="1">
        <v>20770</v>
      </c>
      <c r="DF25" s="1">
        <v>21473</v>
      </c>
      <c r="DG25" s="1">
        <v>22228</v>
      </c>
      <c r="DH25" s="1">
        <v>22742</v>
      </c>
      <c r="DI25" s="1">
        <v>23167</v>
      </c>
      <c r="DJ25" s="1">
        <v>23753</v>
      </c>
      <c r="DK25" s="1">
        <v>24648</v>
      </c>
      <c r="DL25" s="1">
        <v>25225</v>
      </c>
      <c r="DM25" s="1">
        <v>26471</v>
      </c>
      <c r="DN25" s="1">
        <v>27565</v>
      </c>
      <c r="DO25" s="1">
        <v>28333</v>
      </c>
      <c r="DP25" s="1">
        <v>29450</v>
      </c>
      <c r="DQ25" s="1">
        <v>27692</v>
      </c>
      <c r="DR25" s="1">
        <v>28648</v>
      </c>
      <c r="DS25" s="1">
        <v>28642</v>
      </c>
      <c r="DT25" s="1">
        <v>29066</v>
      </c>
      <c r="DU25" s="1">
        <v>30632</v>
      </c>
      <c r="DV25" s="1">
        <v>32310</v>
      </c>
    </row>
    <row r="26" spans="1:126" x14ac:dyDescent="0.25">
      <c r="A26" t="s">
        <v>30</v>
      </c>
      <c r="B26" s="1">
        <v>1425</v>
      </c>
      <c r="C26" s="1">
        <v>1495</v>
      </c>
      <c r="D26" s="1">
        <v>1408</v>
      </c>
      <c r="E26" s="1">
        <v>1532</v>
      </c>
      <c r="F26" s="1">
        <v>1597</v>
      </c>
      <c r="G26" s="1">
        <v>1774</v>
      </c>
      <c r="H26" s="1">
        <v>1892</v>
      </c>
      <c r="I26" s="1">
        <v>2166</v>
      </c>
      <c r="J26" s="1">
        <v>2295</v>
      </c>
      <c r="K26" s="1">
        <v>2293</v>
      </c>
      <c r="L26" s="1">
        <v>2200</v>
      </c>
      <c r="M26" s="1">
        <v>2052</v>
      </c>
      <c r="N26" s="1">
        <v>1985</v>
      </c>
      <c r="O26" s="1">
        <v>1911</v>
      </c>
      <c r="P26" s="1">
        <v>2090</v>
      </c>
      <c r="Q26" s="1">
        <v>2265</v>
      </c>
      <c r="R26" s="1">
        <v>2188</v>
      </c>
      <c r="S26" s="1">
        <v>2228</v>
      </c>
      <c r="T26" s="1">
        <v>2256</v>
      </c>
      <c r="U26" s="1">
        <v>2831</v>
      </c>
      <c r="V26" s="1">
        <v>3105</v>
      </c>
      <c r="W26" s="1">
        <v>3160</v>
      </c>
      <c r="X26" s="1">
        <v>3528</v>
      </c>
      <c r="Y26" s="1">
        <v>3565</v>
      </c>
      <c r="Z26" s="1">
        <v>3419</v>
      </c>
      <c r="AA26" s="1">
        <v>2006</v>
      </c>
      <c r="AB26" s="1">
        <v>2015</v>
      </c>
      <c r="AC26" s="1">
        <v>2119</v>
      </c>
      <c r="AD26" s="1">
        <v>2233</v>
      </c>
      <c r="AE26" s="1">
        <v>2260</v>
      </c>
      <c r="AF26" s="1">
        <v>2378</v>
      </c>
      <c r="AG26" s="1">
        <v>2482</v>
      </c>
      <c r="AH26" s="1">
        <v>2592</v>
      </c>
      <c r="AI26" s="1">
        <v>2740</v>
      </c>
      <c r="AJ26" s="1">
        <v>2817</v>
      </c>
      <c r="AK26" s="1">
        <v>2636</v>
      </c>
      <c r="AL26" s="1">
        <v>2669</v>
      </c>
      <c r="AM26" s="1">
        <v>2454</v>
      </c>
      <c r="AN26" s="1">
        <v>2571</v>
      </c>
      <c r="AO26" s="1">
        <v>2505</v>
      </c>
      <c r="AP26" s="1">
        <v>2638</v>
      </c>
      <c r="AQ26" s="1">
        <v>2846</v>
      </c>
      <c r="AR26" s="1">
        <v>2839</v>
      </c>
      <c r="AS26" s="1">
        <v>2980</v>
      </c>
      <c r="AT26" s="1">
        <v>3542</v>
      </c>
      <c r="AU26" s="1">
        <v>3811</v>
      </c>
      <c r="AV26" s="1">
        <v>4023</v>
      </c>
      <c r="AW26" s="1">
        <v>4493</v>
      </c>
      <c r="AX26" s="1">
        <v>4468</v>
      </c>
      <c r="AY26" s="1">
        <v>4274</v>
      </c>
      <c r="AZ26" s="1">
        <v>2547</v>
      </c>
      <c r="BA26" s="1">
        <v>2534</v>
      </c>
      <c r="BB26" s="1">
        <v>2695</v>
      </c>
      <c r="BC26" s="1">
        <v>2839</v>
      </c>
      <c r="BD26" s="1">
        <v>2938</v>
      </c>
      <c r="BE26" s="1">
        <v>3017</v>
      </c>
      <c r="BF26" s="1">
        <v>3060</v>
      </c>
      <c r="BG26" s="1">
        <v>3349</v>
      </c>
      <c r="BH26" s="1">
        <v>3430</v>
      </c>
      <c r="BI26" s="1">
        <v>3432</v>
      </c>
      <c r="BJ26" s="1">
        <v>3371</v>
      </c>
      <c r="BK26" s="1">
        <v>3439</v>
      </c>
      <c r="BL26" s="1">
        <v>3530</v>
      </c>
      <c r="BM26" s="1">
        <v>3491</v>
      </c>
      <c r="BN26" s="1">
        <v>3473</v>
      </c>
      <c r="BO26" s="1">
        <v>3578</v>
      </c>
      <c r="BP26" s="1">
        <v>3802</v>
      </c>
      <c r="BQ26" s="1">
        <v>3882</v>
      </c>
      <c r="BR26" s="1">
        <v>3985</v>
      </c>
      <c r="BS26" s="1">
        <v>4659</v>
      </c>
      <c r="BT26" s="1">
        <v>4667</v>
      </c>
      <c r="BU26" s="1">
        <v>4593</v>
      </c>
      <c r="BV26" s="1">
        <v>5412</v>
      </c>
      <c r="BW26" s="1">
        <v>5482</v>
      </c>
      <c r="BX26" s="1">
        <v>5271</v>
      </c>
      <c r="BY26" s="1">
        <v>3093</v>
      </c>
      <c r="BZ26" s="1">
        <v>3249</v>
      </c>
      <c r="CA26" s="1">
        <v>3394</v>
      </c>
      <c r="CB26" s="1">
        <v>3533</v>
      </c>
      <c r="CC26" s="1">
        <v>3760</v>
      </c>
      <c r="CD26" s="1">
        <v>3692</v>
      </c>
      <c r="CE26" s="1">
        <v>3923</v>
      </c>
      <c r="CF26" s="1">
        <v>4069</v>
      </c>
      <c r="CG26" s="1">
        <v>4208</v>
      </c>
      <c r="CH26" s="1">
        <v>4312</v>
      </c>
      <c r="CI26" s="1">
        <v>4194</v>
      </c>
      <c r="CJ26" s="1">
        <v>4259</v>
      </c>
      <c r="CK26" s="1">
        <v>4448</v>
      </c>
      <c r="CL26" s="1">
        <v>4187</v>
      </c>
      <c r="CM26" s="1">
        <v>4427</v>
      </c>
      <c r="CN26" s="1">
        <v>4449</v>
      </c>
      <c r="CO26" s="1">
        <v>4736</v>
      </c>
      <c r="CP26" s="1">
        <v>4849</v>
      </c>
      <c r="CQ26" s="1">
        <v>4803</v>
      </c>
      <c r="CR26" s="1">
        <v>5330</v>
      </c>
      <c r="CS26" s="1">
        <v>5184</v>
      </c>
      <c r="CT26" s="1">
        <v>5391</v>
      </c>
      <c r="CU26" s="1">
        <v>6161</v>
      </c>
      <c r="CV26" s="1">
        <v>6067</v>
      </c>
      <c r="CW26" s="1">
        <v>5830</v>
      </c>
      <c r="CX26" s="1">
        <v>4389</v>
      </c>
      <c r="CY26" s="1">
        <v>4799</v>
      </c>
      <c r="CZ26" s="1">
        <v>5044</v>
      </c>
      <c r="DA26" s="1">
        <v>5357</v>
      </c>
      <c r="DB26" s="1">
        <v>5554</v>
      </c>
      <c r="DC26" s="1">
        <v>5906</v>
      </c>
      <c r="DD26" s="1">
        <v>6012</v>
      </c>
      <c r="DE26" s="1">
        <v>6207</v>
      </c>
      <c r="DF26" s="1">
        <v>6506</v>
      </c>
      <c r="DG26" s="1">
        <v>6643</v>
      </c>
      <c r="DH26" s="1">
        <v>6656</v>
      </c>
      <c r="DI26" s="1">
        <v>6897</v>
      </c>
      <c r="DJ26" s="1">
        <v>6735</v>
      </c>
      <c r="DK26" s="1">
        <v>7033</v>
      </c>
      <c r="DL26" s="1">
        <v>6926</v>
      </c>
      <c r="DM26" s="1">
        <v>7100</v>
      </c>
      <c r="DN26" s="1">
        <v>7112</v>
      </c>
      <c r="DO26" s="1">
        <v>7449</v>
      </c>
      <c r="DP26" s="1">
        <v>7596</v>
      </c>
      <c r="DQ26" s="1">
        <v>8477</v>
      </c>
      <c r="DR26" s="1">
        <v>8537</v>
      </c>
      <c r="DS26" s="1">
        <v>8782</v>
      </c>
      <c r="DT26" s="1">
        <v>9464</v>
      </c>
      <c r="DU26" s="1">
        <v>9647</v>
      </c>
      <c r="DV26" s="1">
        <v>9279</v>
      </c>
    </row>
    <row r="27" spans="1:126" x14ac:dyDescent="0.25">
      <c r="A27" t="s">
        <v>31</v>
      </c>
      <c r="B27">
        <v>867</v>
      </c>
      <c r="C27">
        <v>890</v>
      </c>
      <c r="D27">
        <v>901</v>
      </c>
      <c r="E27">
        <v>964</v>
      </c>
      <c r="F27" s="1">
        <v>1006</v>
      </c>
      <c r="G27" s="1">
        <v>1148</v>
      </c>
      <c r="H27" s="1">
        <v>1208</v>
      </c>
      <c r="I27" s="1">
        <v>1480</v>
      </c>
      <c r="J27" s="1">
        <v>1594</v>
      </c>
      <c r="K27" s="1">
        <v>1657</v>
      </c>
      <c r="L27" s="1">
        <v>1805</v>
      </c>
      <c r="M27" s="1">
        <v>1981</v>
      </c>
      <c r="N27" s="1">
        <v>1928</v>
      </c>
      <c r="O27" s="1">
        <v>2023</v>
      </c>
      <c r="P27" s="1">
        <v>2059</v>
      </c>
      <c r="Q27" s="1">
        <v>2118</v>
      </c>
      <c r="R27" s="1">
        <v>2140</v>
      </c>
      <c r="S27" s="1">
        <v>2177</v>
      </c>
      <c r="T27" s="1">
        <v>2176</v>
      </c>
      <c r="U27" s="1">
        <v>2093</v>
      </c>
      <c r="V27" s="1">
        <v>2100</v>
      </c>
      <c r="W27" s="1">
        <v>1861</v>
      </c>
      <c r="X27" s="1">
        <v>2070</v>
      </c>
      <c r="Y27" s="1">
        <v>2192</v>
      </c>
      <c r="Z27" s="1">
        <v>2282</v>
      </c>
      <c r="AA27" s="1">
        <v>1429</v>
      </c>
      <c r="AB27" s="1">
        <v>1496</v>
      </c>
      <c r="AC27" s="1">
        <v>1583</v>
      </c>
      <c r="AD27" s="1">
        <v>1650</v>
      </c>
      <c r="AE27" s="1">
        <v>1641</v>
      </c>
      <c r="AF27" s="1">
        <v>1738</v>
      </c>
      <c r="AG27" s="1">
        <v>1889</v>
      </c>
      <c r="AH27" s="1">
        <v>1919</v>
      </c>
      <c r="AI27" s="1">
        <v>2026</v>
      </c>
      <c r="AJ27" s="1">
        <v>2238</v>
      </c>
      <c r="AK27" s="1">
        <v>2337</v>
      </c>
      <c r="AL27" s="1">
        <v>2436</v>
      </c>
      <c r="AM27" s="1">
        <v>2538</v>
      </c>
      <c r="AN27" s="1">
        <v>2613</v>
      </c>
      <c r="AO27" s="1">
        <v>2658</v>
      </c>
      <c r="AP27" s="1">
        <v>2829</v>
      </c>
      <c r="AQ27" s="1">
        <v>2903</v>
      </c>
      <c r="AR27" s="1">
        <v>2917</v>
      </c>
      <c r="AS27" s="1">
        <v>2943</v>
      </c>
      <c r="AT27" s="1">
        <v>2858</v>
      </c>
      <c r="AU27" s="1">
        <v>2809</v>
      </c>
      <c r="AV27" s="1">
        <v>2652</v>
      </c>
      <c r="AW27" s="1">
        <v>2967</v>
      </c>
      <c r="AX27" s="1">
        <v>3108</v>
      </c>
      <c r="AY27" s="1">
        <v>3261</v>
      </c>
      <c r="AZ27" s="1">
        <v>1570</v>
      </c>
      <c r="BA27" s="1">
        <v>1612</v>
      </c>
      <c r="BB27" s="1">
        <v>1760</v>
      </c>
      <c r="BC27" s="1">
        <v>1865</v>
      </c>
      <c r="BD27" s="1">
        <v>1878</v>
      </c>
      <c r="BE27" s="1">
        <v>1994</v>
      </c>
      <c r="BF27" s="1">
        <v>2099</v>
      </c>
      <c r="BG27" s="1">
        <v>2225</v>
      </c>
      <c r="BH27" s="1">
        <v>2333</v>
      </c>
      <c r="BI27" s="1">
        <v>2475</v>
      </c>
      <c r="BJ27" s="1">
        <v>2646</v>
      </c>
      <c r="BK27" s="1">
        <v>2777</v>
      </c>
      <c r="BL27" s="1">
        <v>2878</v>
      </c>
      <c r="BM27" s="1">
        <v>2951</v>
      </c>
      <c r="BN27" s="1">
        <v>2933</v>
      </c>
      <c r="BO27" s="1">
        <v>2979</v>
      </c>
      <c r="BP27" s="1">
        <v>3099</v>
      </c>
      <c r="BQ27" s="1">
        <v>3307</v>
      </c>
      <c r="BR27" s="1">
        <v>3301</v>
      </c>
      <c r="BS27" s="1">
        <v>3262</v>
      </c>
      <c r="BT27" s="1">
        <v>3289</v>
      </c>
      <c r="BU27" s="1">
        <v>3120</v>
      </c>
      <c r="BV27" s="1">
        <v>3727</v>
      </c>
      <c r="BW27" s="1">
        <v>3998</v>
      </c>
      <c r="BX27" s="1">
        <v>4163</v>
      </c>
      <c r="BY27" s="1">
        <v>1686</v>
      </c>
      <c r="BZ27" s="1">
        <v>1801</v>
      </c>
      <c r="CA27" s="1">
        <v>1996</v>
      </c>
      <c r="CB27" s="1">
        <v>2133</v>
      </c>
      <c r="CC27" s="1">
        <v>2333</v>
      </c>
      <c r="CD27" s="1">
        <v>2377</v>
      </c>
      <c r="CE27" s="1">
        <v>2609</v>
      </c>
      <c r="CF27" s="1">
        <v>2745</v>
      </c>
      <c r="CG27" s="1">
        <v>2920</v>
      </c>
      <c r="CH27" s="1">
        <v>3027</v>
      </c>
      <c r="CI27" s="1">
        <v>3064</v>
      </c>
      <c r="CJ27" s="1">
        <v>3204</v>
      </c>
      <c r="CK27" s="1">
        <v>3241</v>
      </c>
      <c r="CL27" s="1">
        <v>3261</v>
      </c>
      <c r="CM27" s="1">
        <v>3411</v>
      </c>
      <c r="CN27" s="1">
        <v>3463</v>
      </c>
      <c r="CO27" s="1">
        <v>3557</v>
      </c>
      <c r="CP27" s="1">
        <v>3798</v>
      </c>
      <c r="CQ27" s="1">
        <v>3933</v>
      </c>
      <c r="CR27" s="1">
        <v>3640</v>
      </c>
      <c r="CS27" s="1">
        <v>3813</v>
      </c>
      <c r="CT27" s="1">
        <v>3276</v>
      </c>
      <c r="CU27" s="1">
        <v>3745</v>
      </c>
      <c r="CV27" s="1">
        <v>3863</v>
      </c>
      <c r="CW27" s="1">
        <v>4033</v>
      </c>
      <c r="CX27" s="1">
        <v>2184</v>
      </c>
      <c r="CY27" s="1">
        <v>2429</v>
      </c>
      <c r="CZ27" s="1">
        <v>2556</v>
      </c>
      <c r="DA27" s="1">
        <v>2808</v>
      </c>
      <c r="DB27" s="1">
        <v>2977</v>
      </c>
      <c r="DC27" s="1">
        <v>3184</v>
      </c>
      <c r="DD27" s="1">
        <v>3313</v>
      </c>
      <c r="DE27" s="1">
        <v>3552</v>
      </c>
      <c r="DF27" s="1">
        <v>3853</v>
      </c>
      <c r="DG27" s="1">
        <v>3916</v>
      </c>
      <c r="DH27" s="1">
        <v>4001</v>
      </c>
      <c r="DI27" s="1">
        <v>3994</v>
      </c>
      <c r="DJ27" s="1">
        <v>4109</v>
      </c>
      <c r="DK27" s="1">
        <v>4110</v>
      </c>
      <c r="DL27" s="1">
        <v>4245</v>
      </c>
      <c r="DM27" s="1">
        <v>4322</v>
      </c>
      <c r="DN27" s="1">
        <v>4677</v>
      </c>
      <c r="DO27" s="1">
        <v>4766</v>
      </c>
      <c r="DP27" s="1">
        <v>5013</v>
      </c>
      <c r="DQ27" s="1">
        <v>4831</v>
      </c>
      <c r="DR27" s="1">
        <v>5047</v>
      </c>
      <c r="DS27" s="1">
        <v>5150</v>
      </c>
      <c r="DT27" s="1">
        <v>5530</v>
      </c>
      <c r="DU27" s="1">
        <v>5938</v>
      </c>
      <c r="DV27" s="1">
        <v>6204</v>
      </c>
    </row>
    <row r="28" spans="1:126" x14ac:dyDescent="0.25">
      <c r="A28" t="s">
        <v>32</v>
      </c>
      <c r="B28" s="1">
        <v>2813</v>
      </c>
      <c r="C28" s="1">
        <v>3172</v>
      </c>
      <c r="D28" s="1">
        <v>2981</v>
      </c>
      <c r="E28" s="1">
        <v>3332</v>
      </c>
      <c r="F28" s="1">
        <v>3285</v>
      </c>
      <c r="G28" s="1">
        <v>3476</v>
      </c>
      <c r="H28" s="1">
        <v>4102</v>
      </c>
      <c r="I28" s="1">
        <v>4602</v>
      </c>
      <c r="J28" s="1">
        <v>4865</v>
      </c>
      <c r="K28" s="1">
        <v>5167</v>
      </c>
      <c r="L28" s="1">
        <v>4570</v>
      </c>
      <c r="M28" s="1">
        <v>5362</v>
      </c>
      <c r="N28" s="1">
        <v>5540</v>
      </c>
      <c r="O28" s="1">
        <v>5904</v>
      </c>
      <c r="P28" s="1">
        <v>6348</v>
      </c>
      <c r="Q28" s="1">
        <v>6547</v>
      </c>
      <c r="R28" s="1">
        <v>6447</v>
      </c>
      <c r="S28" s="1">
        <v>6567</v>
      </c>
      <c r="T28" s="1">
        <v>7279</v>
      </c>
      <c r="U28" s="1">
        <v>8244</v>
      </c>
      <c r="V28" s="1">
        <v>9567</v>
      </c>
      <c r="W28" s="1">
        <v>6936</v>
      </c>
      <c r="X28" s="1">
        <v>8108</v>
      </c>
      <c r="Y28" s="1">
        <v>9373</v>
      </c>
      <c r="Z28" s="1">
        <v>9932</v>
      </c>
      <c r="AA28" s="1">
        <v>4858</v>
      </c>
      <c r="AB28" s="1">
        <v>5181</v>
      </c>
      <c r="AC28" s="1">
        <v>4991</v>
      </c>
      <c r="AD28" s="1">
        <v>5385</v>
      </c>
      <c r="AE28" s="1">
        <v>5395</v>
      </c>
      <c r="AF28" s="1">
        <v>6018</v>
      </c>
      <c r="AG28" s="1">
        <v>6336</v>
      </c>
      <c r="AH28" s="1">
        <v>6905</v>
      </c>
      <c r="AI28" s="1">
        <v>7285</v>
      </c>
      <c r="AJ28" s="1">
        <v>7546</v>
      </c>
      <c r="AK28" s="1">
        <v>6858</v>
      </c>
      <c r="AL28" s="1">
        <v>7526</v>
      </c>
      <c r="AM28" s="1">
        <v>7970</v>
      </c>
      <c r="AN28" s="1">
        <v>8171</v>
      </c>
      <c r="AO28" s="1">
        <v>8484</v>
      </c>
      <c r="AP28" s="1">
        <v>8922</v>
      </c>
      <c r="AQ28" s="1">
        <v>8972</v>
      </c>
      <c r="AR28" s="1">
        <v>9453</v>
      </c>
      <c r="AS28" s="1">
        <v>9998</v>
      </c>
      <c r="AT28" s="1">
        <v>10710</v>
      </c>
      <c r="AU28" s="1">
        <v>11400</v>
      </c>
      <c r="AV28" s="1">
        <v>8644</v>
      </c>
      <c r="AW28" s="1">
        <v>10210</v>
      </c>
      <c r="AX28" s="1">
        <v>11563</v>
      </c>
      <c r="AY28" s="1">
        <v>12502</v>
      </c>
      <c r="AZ28" s="1">
        <v>6841</v>
      </c>
      <c r="BA28" s="1">
        <v>7002</v>
      </c>
      <c r="BB28" s="1">
        <v>7206</v>
      </c>
      <c r="BC28" s="1">
        <v>7537</v>
      </c>
      <c r="BD28" s="1">
        <v>7845</v>
      </c>
      <c r="BE28" s="1">
        <v>7593</v>
      </c>
      <c r="BF28" s="1">
        <v>8307</v>
      </c>
      <c r="BG28" s="1">
        <v>8403</v>
      </c>
      <c r="BH28" s="1">
        <v>9178</v>
      </c>
      <c r="BI28" s="1">
        <v>9276</v>
      </c>
      <c r="BJ28" s="1">
        <v>8549</v>
      </c>
      <c r="BK28" s="1">
        <v>9406</v>
      </c>
      <c r="BL28" s="1">
        <v>9950</v>
      </c>
      <c r="BM28" s="1">
        <v>10702</v>
      </c>
      <c r="BN28" s="1">
        <v>10769</v>
      </c>
      <c r="BO28" s="1">
        <v>11507</v>
      </c>
      <c r="BP28" s="1">
        <v>11718</v>
      </c>
      <c r="BQ28" s="1">
        <v>11502</v>
      </c>
      <c r="BR28" s="1">
        <v>11838</v>
      </c>
      <c r="BS28" s="1">
        <v>12844</v>
      </c>
      <c r="BT28" s="1">
        <v>12327</v>
      </c>
      <c r="BU28" s="1">
        <v>9510</v>
      </c>
      <c r="BV28" s="1">
        <v>11215</v>
      </c>
      <c r="BW28" s="1">
        <v>13292</v>
      </c>
      <c r="BX28" s="1">
        <v>13747</v>
      </c>
      <c r="BY28" s="1">
        <v>8641</v>
      </c>
      <c r="BZ28" s="1">
        <v>9160</v>
      </c>
      <c r="CA28" s="1">
        <v>9180</v>
      </c>
      <c r="CB28" s="1">
        <v>9557</v>
      </c>
      <c r="CC28" s="1">
        <v>9937</v>
      </c>
      <c r="CD28" s="1">
        <v>9754</v>
      </c>
      <c r="CE28" s="1">
        <v>10498</v>
      </c>
      <c r="CF28" s="1">
        <v>11163</v>
      </c>
      <c r="CG28" s="1">
        <v>11491</v>
      </c>
      <c r="CH28" s="1">
        <v>12164</v>
      </c>
      <c r="CI28" s="1">
        <v>11167</v>
      </c>
      <c r="CJ28" s="1">
        <v>11814</v>
      </c>
      <c r="CK28" s="1">
        <v>13092</v>
      </c>
      <c r="CL28" s="1">
        <v>13125</v>
      </c>
      <c r="CM28" s="1">
        <v>13800</v>
      </c>
      <c r="CN28" s="1">
        <v>14154</v>
      </c>
      <c r="CO28" s="1">
        <v>13871</v>
      </c>
      <c r="CP28" s="1">
        <v>13820</v>
      </c>
      <c r="CQ28" s="1">
        <v>14679</v>
      </c>
      <c r="CR28" s="1">
        <v>15713</v>
      </c>
      <c r="CS28" s="1">
        <v>14780</v>
      </c>
      <c r="CT28" s="1">
        <v>11954</v>
      </c>
      <c r="CU28" s="1">
        <v>13747</v>
      </c>
      <c r="CV28" s="1">
        <v>15672</v>
      </c>
      <c r="CW28" s="1">
        <v>16550</v>
      </c>
      <c r="CX28" s="1">
        <v>11394</v>
      </c>
      <c r="CY28" s="1">
        <v>12464</v>
      </c>
      <c r="CZ28" s="1">
        <v>12603</v>
      </c>
      <c r="DA28" s="1">
        <v>13272</v>
      </c>
      <c r="DB28" s="1">
        <v>13756</v>
      </c>
      <c r="DC28" s="1">
        <v>14423</v>
      </c>
      <c r="DD28" s="1">
        <v>14762</v>
      </c>
      <c r="DE28" s="1">
        <v>14821</v>
      </c>
      <c r="DF28" s="1">
        <v>15669</v>
      </c>
      <c r="DG28" s="1">
        <v>15741</v>
      </c>
      <c r="DH28" s="1">
        <v>14749</v>
      </c>
      <c r="DI28" s="1">
        <v>15735</v>
      </c>
      <c r="DJ28" s="1">
        <v>16128</v>
      </c>
      <c r="DK28" s="1">
        <v>16754</v>
      </c>
      <c r="DL28" s="1">
        <v>17541</v>
      </c>
      <c r="DM28" s="1">
        <v>18253</v>
      </c>
      <c r="DN28" s="1">
        <v>17919</v>
      </c>
      <c r="DO28" s="1">
        <v>18310</v>
      </c>
      <c r="DP28" s="1">
        <v>18980</v>
      </c>
      <c r="DQ28" s="1">
        <v>20201</v>
      </c>
      <c r="DR28" s="1">
        <v>18733</v>
      </c>
      <c r="DS28" s="1">
        <v>15123</v>
      </c>
      <c r="DT28" s="1">
        <v>17004</v>
      </c>
      <c r="DU28" s="1">
        <v>19536</v>
      </c>
      <c r="DV28" s="1">
        <v>20654</v>
      </c>
    </row>
    <row r="29" spans="1:126" x14ac:dyDescent="0.25">
      <c r="A29" t="s">
        <v>33</v>
      </c>
      <c r="B29">
        <v>700</v>
      </c>
      <c r="C29">
        <v>734</v>
      </c>
      <c r="D29">
        <v>769</v>
      </c>
      <c r="E29">
        <v>859</v>
      </c>
      <c r="F29">
        <v>855</v>
      </c>
      <c r="G29">
        <v>966</v>
      </c>
      <c r="H29" s="1">
        <v>1062</v>
      </c>
      <c r="I29" s="1">
        <v>1167</v>
      </c>
      <c r="J29" s="1">
        <v>1206</v>
      </c>
      <c r="K29" s="1">
        <v>1246</v>
      </c>
      <c r="L29" s="1">
        <v>1346</v>
      </c>
      <c r="M29" s="1">
        <v>1408</v>
      </c>
      <c r="N29" s="1">
        <v>1393</v>
      </c>
      <c r="O29" s="1">
        <v>1448</v>
      </c>
      <c r="P29" s="1">
        <v>1520</v>
      </c>
      <c r="Q29" s="1">
        <v>1550</v>
      </c>
      <c r="R29" s="1">
        <v>1576</v>
      </c>
      <c r="S29" s="1">
        <v>1673</v>
      </c>
      <c r="T29" s="1">
        <v>1753</v>
      </c>
      <c r="U29" s="1">
        <v>1674</v>
      </c>
      <c r="V29" s="1">
        <v>1679</v>
      </c>
      <c r="W29" s="1">
        <v>1665</v>
      </c>
      <c r="X29" s="1">
        <v>1782</v>
      </c>
      <c r="Y29" s="1">
        <v>1821</v>
      </c>
      <c r="Z29" s="1">
        <v>1877</v>
      </c>
      <c r="AA29">
        <v>850</v>
      </c>
      <c r="AB29">
        <v>938</v>
      </c>
      <c r="AC29">
        <v>982</v>
      </c>
      <c r="AD29" s="1">
        <v>1061</v>
      </c>
      <c r="AE29" s="1">
        <v>1097</v>
      </c>
      <c r="AF29" s="1">
        <v>1136</v>
      </c>
      <c r="AG29" s="1">
        <v>1203</v>
      </c>
      <c r="AH29" s="1">
        <v>1285</v>
      </c>
      <c r="AI29" s="1">
        <v>1368</v>
      </c>
      <c r="AJ29" s="1">
        <v>1386</v>
      </c>
      <c r="AK29" s="1">
        <v>1506</v>
      </c>
      <c r="AL29" s="1">
        <v>1525</v>
      </c>
      <c r="AM29" s="1">
        <v>1552</v>
      </c>
      <c r="AN29" s="1">
        <v>1560</v>
      </c>
      <c r="AO29" s="1">
        <v>1647</v>
      </c>
      <c r="AP29" s="1">
        <v>1678</v>
      </c>
      <c r="AQ29" s="1">
        <v>1771</v>
      </c>
      <c r="AR29" s="1">
        <v>1844</v>
      </c>
      <c r="AS29" s="1">
        <v>1979</v>
      </c>
      <c r="AT29" s="1">
        <v>1907</v>
      </c>
      <c r="AU29" s="1">
        <v>1869</v>
      </c>
      <c r="AV29" s="1">
        <v>1900</v>
      </c>
      <c r="AW29" s="1">
        <v>2005</v>
      </c>
      <c r="AX29" s="1">
        <v>2045</v>
      </c>
      <c r="AY29" s="1">
        <v>2109</v>
      </c>
      <c r="AZ29">
        <v>976</v>
      </c>
      <c r="BA29" s="1">
        <v>1030</v>
      </c>
      <c r="BB29" s="1">
        <v>1128</v>
      </c>
      <c r="BC29" s="1">
        <v>1199</v>
      </c>
      <c r="BD29" s="1">
        <v>1223</v>
      </c>
      <c r="BE29" s="1">
        <v>1289</v>
      </c>
      <c r="BF29" s="1">
        <v>1363</v>
      </c>
      <c r="BG29" s="1">
        <v>1422</v>
      </c>
      <c r="BH29" s="1">
        <v>1453</v>
      </c>
      <c r="BI29" s="1">
        <v>1499</v>
      </c>
      <c r="BJ29" s="1">
        <v>1599</v>
      </c>
      <c r="BK29" s="1">
        <v>1644</v>
      </c>
      <c r="BL29" s="1">
        <v>1771</v>
      </c>
      <c r="BM29" s="1">
        <v>1825</v>
      </c>
      <c r="BN29" s="1">
        <v>1818</v>
      </c>
      <c r="BO29" s="1">
        <v>1903</v>
      </c>
      <c r="BP29" s="1">
        <v>1999</v>
      </c>
      <c r="BQ29" s="1">
        <v>2041</v>
      </c>
      <c r="BR29" s="1">
        <v>2168</v>
      </c>
      <c r="BS29" s="1">
        <v>2091</v>
      </c>
      <c r="BT29" s="1">
        <v>2134</v>
      </c>
      <c r="BU29" s="1">
        <v>2160</v>
      </c>
      <c r="BV29" s="1">
        <v>2308</v>
      </c>
      <c r="BW29" s="1">
        <v>2360</v>
      </c>
      <c r="BX29" s="1">
        <v>2425</v>
      </c>
      <c r="BY29" s="1">
        <v>1052</v>
      </c>
      <c r="BZ29" s="1">
        <v>1171</v>
      </c>
      <c r="CA29" s="1">
        <v>1255</v>
      </c>
      <c r="CB29" s="1">
        <v>1366</v>
      </c>
      <c r="CC29" s="1">
        <v>1455</v>
      </c>
      <c r="CD29" s="1">
        <v>1463</v>
      </c>
      <c r="CE29" s="1">
        <v>1549</v>
      </c>
      <c r="CF29" s="1">
        <v>1574</v>
      </c>
      <c r="CG29" s="1">
        <v>1679</v>
      </c>
      <c r="CH29" s="1">
        <v>1713</v>
      </c>
      <c r="CI29" s="1">
        <v>1772</v>
      </c>
      <c r="CJ29" s="1">
        <v>1839</v>
      </c>
      <c r="CK29" s="1">
        <v>1948</v>
      </c>
      <c r="CL29" s="1">
        <v>1997</v>
      </c>
      <c r="CM29" s="1">
        <v>2037</v>
      </c>
      <c r="CN29" s="1">
        <v>2158</v>
      </c>
      <c r="CO29" s="1">
        <v>2177</v>
      </c>
      <c r="CP29" s="1">
        <v>2246</v>
      </c>
      <c r="CQ29" s="1">
        <v>2417</v>
      </c>
      <c r="CR29" s="1">
        <v>2337</v>
      </c>
      <c r="CS29" s="1">
        <v>2371</v>
      </c>
      <c r="CT29" s="1">
        <v>2454</v>
      </c>
      <c r="CU29" s="1">
        <v>2549</v>
      </c>
      <c r="CV29" s="1">
        <v>2607</v>
      </c>
      <c r="CW29" s="1">
        <v>2675</v>
      </c>
      <c r="CX29" s="1">
        <v>1221</v>
      </c>
      <c r="CY29" s="1">
        <v>1378</v>
      </c>
      <c r="CZ29" s="1">
        <v>1447</v>
      </c>
      <c r="DA29" s="1">
        <v>1603</v>
      </c>
      <c r="DB29" s="1">
        <v>1642</v>
      </c>
      <c r="DC29" s="1">
        <v>1735</v>
      </c>
      <c r="DD29" s="1">
        <v>1818</v>
      </c>
      <c r="DE29" s="1">
        <v>1893</v>
      </c>
      <c r="DF29" s="1">
        <v>1885</v>
      </c>
      <c r="DG29" s="1">
        <v>1945</v>
      </c>
      <c r="DH29" s="1">
        <v>2032</v>
      </c>
      <c r="DI29" s="1">
        <v>2053</v>
      </c>
      <c r="DJ29" s="1">
        <v>2128</v>
      </c>
      <c r="DK29" s="1">
        <v>2164</v>
      </c>
      <c r="DL29" s="1">
        <v>2303</v>
      </c>
      <c r="DM29" s="1">
        <v>2397</v>
      </c>
      <c r="DN29" s="1">
        <v>2554</v>
      </c>
      <c r="DO29" s="1">
        <v>2572</v>
      </c>
      <c r="DP29" s="1">
        <v>2663</v>
      </c>
      <c r="DQ29" s="1">
        <v>2458</v>
      </c>
      <c r="DR29" s="1">
        <v>2594</v>
      </c>
      <c r="DS29" s="1">
        <v>2646</v>
      </c>
      <c r="DT29" s="1">
        <v>2621</v>
      </c>
      <c r="DU29" s="1">
        <v>2680</v>
      </c>
      <c r="DV29" s="1">
        <v>2756</v>
      </c>
    </row>
    <row r="30" spans="1:126" x14ac:dyDescent="0.25">
      <c r="A30" t="s">
        <v>34</v>
      </c>
      <c r="B30" s="1">
        <v>2114</v>
      </c>
      <c r="C30" s="1">
        <v>2351</v>
      </c>
      <c r="D30" s="1">
        <v>2223</v>
      </c>
      <c r="E30" s="1">
        <v>2214</v>
      </c>
      <c r="F30" s="1">
        <v>2268</v>
      </c>
      <c r="G30" s="1">
        <v>2432</v>
      </c>
      <c r="H30" s="1">
        <v>2725</v>
      </c>
      <c r="I30" s="1">
        <v>3130</v>
      </c>
      <c r="J30" s="1">
        <v>3211</v>
      </c>
      <c r="K30" s="1">
        <v>3307</v>
      </c>
      <c r="L30" s="1">
        <v>3240</v>
      </c>
      <c r="M30" s="1">
        <v>3257</v>
      </c>
      <c r="N30" s="1">
        <v>3226</v>
      </c>
      <c r="O30" s="1">
        <v>3222</v>
      </c>
      <c r="P30" s="1">
        <v>3206</v>
      </c>
      <c r="Q30" s="1">
        <v>3509</v>
      </c>
      <c r="R30" s="1">
        <v>3349</v>
      </c>
      <c r="S30" s="1">
        <v>3616</v>
      </c>
      <c r="T30" s="1">
        <v>3604</v>
      </c>
      <c r="U30" s="1">
        <v>4239</v>
      </c>
      <c r="V30" s="1">
        <v>3290</v>
      </c>
      <c r="W30" s="1">
        <v>2876</v>
      </c>
      <c r="X30" s="1">
        <v>5170</v>
      </c>
      <c r="Y30" s="1">
        <v>5598</v>
      </c>
      <c r="Z30" s="1">
        <v>5653</v>
      </c>
      <c r="AA30" s="1">
        <v>3242</v>
      </c>
      <c r="AB30" s="1">
        <v>3383</v>
      </c>
      <c r="AC30" s="1">
        <v>3519</v>
      </c>
      <c r="AD30" s="1">
        <v>3685</v>
      </c>
      <c r="AE30" s="1">
        <v>3610</v>
      </c>
      <c r="AF30" s="1">
        <v>3767</v>
      </c>
      <c r="AG30" s="1">
        <v>3927</v>
      </c>
      <c r="AH30" s="1">
        <v>4204</v>
      </c>
      <c r="AI30" s="1">
        <v>4584</v>
      </c>
      <c r="AJ30" s="1">
        <v>4741</v>
      </c>
      <c r="AK30" s="1">
        <v>4606</v>
      </c>
      <c r="AL30" s="1">
        <v>4910</v>
      </c>
      <c r="AM30" s="1">
        <v>4633</v>
      </c>
      <c r="AN30" s="1">
        <v>4676</v>
      </c>
      <c r="AO30" s="1">
        <v>4568</v>
      </c>
      <c r="AP30" s="1">
        <v>4512</v>
      </c>
      <c r="AQ30" s="1">
        <v>4755</v>
      </c>
      <c r="AR30" s="1">
        <v>4495</v>
      </c>
      <c r="AS30" s="1">
        <v>4477</v>
      </c>
      <c r="AT30" s="1">
        <v>5226</v>
      </c>
      <c r="AU30" s="1">
        <v>4845</v>
      </c>
      <c r="AV30" s="1">
        <v>4574</v>
      </c>
      <c r="AW30" s="1">
        <v>5324</v>
      </c>
      <c r="AX30" s="1">
        <v>5893</v>
      </c>
      <c r="AY30" s="1">
        <v>6010</v>
      </c>
      <c r="AZ30" s="1">
        <v>4502</v>
      </c>
      <c r="BA30" s="1">
        <v>4603</v>
      </c>
      <c r="BB30" s="1">
        <v>4952</v>
      </c>
      <c r="BC30" s="1">
        <v>5125</v>
      </c>
      <c r="BD30" s="1">
        <v>5101</v>
      </c>
      <c r="BE30" s="1">
        <v>5110</v>
      </c>
      <c r="BF30" s="1">
        <v>5365</v>
      </c>
      <c r="BG30" s="1">
        <v>5521</v>
      </c>
      <c r="BH30" s="1">
        <v>5554</v>
      </c>
      <c r="BI30" s="1">
        <v>5572</v>
      </c>
      <c r="BJ30" s="1">
        <v>5674</v>
      </c>
      <c r="BK30" s="1">
        <v>5500</v>
      </c>
      <c r="BL30" s="1">
        <v>5744</v>
      </c>
      <c r="BM30" s="1">
        <v>5794</v>
      </c>
      <c r="BN30" s="1">
        <v>6135</v>
      </c>
      <c r="BO30" s="1">
        <v>6128</v>
      </c>
      <c r="BP30" s="1">
        <v>6067</v>
      </c>
      <c r="BQ30" s="1">
        <v>6131</v>
      </c>
      <c r="BR30" s="1">
        <v>6110</v>
      </c>
      <c r="BS30" s="1">
        <v>6938</v>
      </c>
      <c r="BT30" s="1">
        <v>7587</v>
      </c>
      <c r="BU30" s="1">
        <v>6880</v>
      </c>
      <c r="BV30" s="1">
        <v>7025</v>
      </c>
      <c r="BW30" s="1">
        <v>7467</v>
      </c>
      <c r="BX30" s="1">
        <v>7524</v>
      </c>
      <c r="BY30" s="1">
        <v>5236</v>
      </c>
      <c r="BZ30" s="1">
        <v>5740</v>
      </c>
      <c r="CA30" s="1">
        <v>6026</v>
      </c>
      <c r="CB30" s="1">
        <v>6248</v>
      </c>
      <c r="CC30" s="1">
        <v>6665</v>
      </c>
      <c r="CD30" s="1">
        <v>6616</v>
      </c>
      <c r="CE30" s="1">
        <v>6748</v>
      </c>
      <c r="CF30" s="1">
        <v>6638</v>
      </c>
      <c r="CG30" s="1">
        <v>6806</v>
      </c>
      <c r="CH30" s="1">
        <v>7095</v>
      </c>
      <c r="CI30" s="1">
        <v>7044</v>
      </c>
      <c r="CJ30" s="1">
        <v>7363</v>
      </c>
      <c r="CK30" s="1">
        <v>7566</v>
      </c>
      <c r="CL30" s="1">
        <v>7548</v>
      </c>
      <c r="CM30" s="1">
        <v>7624</v>
      </c>
      <c r="CN30" s="1">
        <v>7496</v>
      </c>
      <c r="CO30" s="1">
        <v>7649</v>
      </c>
      <c r="CP30" s="1">
        <v>7545</v>
      </c>
      <c r="CQ30" s="1">
        <v>7643</v>
      </c>
      <c r="CR30" s="1">
        <v>8541</v>
      </c>
      <c r="CS30" s="1">
        <v>9430</v>
      </c>
      <c r="CT30" s="1">
        <v>8820</v>
      </c>
      <c r="CU30" s="1">
        <v>8708</v>
      </c>
      <c r="CV30" s="1">
        <v>9262</v>
      </c>
      <c r="CW30" s="1">
        <v>9373</v>
      </c>
      <c r="CX30" s="1">
        <v>7792</v>
      </c>
      <c r="CY30" s="1">
        <v>8237</v>
      </c>
      <c r="CZ30" s="1">
        <v>8427</v>
      </c>
      <c r="DA30" s="1">
        <v>8795</v>
      </c>
      <c r="DB30" s="1">
        <v>8980</v>
      </c>
      <c r="DC30" s="1">
        <v>9312</v>
      </c>
      <c r="DD30" s="1">
        <v>9442</v>
      </c>
      <c r="DE30" s="1">
        <v>9722</v>
      </c>
      <c r="DF30" s="1">
        <v>10226</v>
      </c>
      <c r="DG30" s="1">
        <v>10102</v>
      </c>
      <c r="DH30" s="1">
        <v>10022</v>
      </c>
      <c r="DI30" s="1">
        <v>10092</v>
      </c>
      <c r="DJ30" s="1">
        <v>10114</v>
      </c>
      <c r="DK30" s="1">
        <v>10219</v>
      </c>
      <c r="DL30" s="1">
        <v>9873</v>
      </c>
      <c r="DM30" s="1">
        <v>10108</v>
      </c>
      <c r="DN30" s="1">
        <v>10476</v>
      </c>
      <c r="DO30" s="1">
        <v>10567</v>
      </c>
      <c r="DP30" s="1">
        <v>10588</v>
      </c>
      <c r="DQ30" s="1">
        <v>11502</v>
      </c>
      <c r="DR30" s="1">
        <v>11302</v>
      </c>
      <c r="DS30" s="1">
        <v>10258</v>
      </c>
      <c r="DT30" s="1">
        <v>10752</v>
      </c>
      <c r="DU30" s="1">
        <v>11795</v>
      </c>
      <c r="DV30" s="1">
        <v>11979</v>
      </c>
    </row>
    <row r="31" spans="1:126" x14ac:dyDescent="0.25">
      <c r="A31" t="s">
        <v>35</v>
      </c>
      <c r="B31">
        <v>371</v>
      </c>
      <c r="C31">
        <v>382</v>
      </c>
      <c r="D31">
        <v>382</v>
      </c>
      <c r="E31">
        <v>409</v>
      </c>
      <c r="F31">
        <v>486</v>
      </c>
      <c r="G31">
        <v>563</v>
      </c>
      <c r="H31">
        <v>638</v>
      </c>
      <c r="I31">
        <v>703</v>
      </c>
      <c r="J31">
        <v>737</v>
      </c>
      <c r="K31">
        <v>804</v>
      </c>
      <c r="L31">
        <v>889</v>
      </c>
      <c r="M31">
        <v>897</v>
      </c>
      <c r="N31">
        <v>919</v>
      </c>
      <c r="O31" s="1">
        <v>1007</v>
      </c>
      <c r="P31" s="1">
        <v>1161</v>
      </c>
      <c r="Q31" s="1">
        <v>1114</v>
      </c>
      <c r="R31" s="1">
        <v>1250</v>
      </c>
      <c r="S31" s="1">
        <v>1311</v>
      </c>
      <c r="T31" s="1">
        <v>1438</v>
      </c>
      <c r="U31" s="1">
        <v>1145</v>
      </c>
      <c r="V31" s="1">
        <v>1111</v>
      </c>
      <c r="W31" s="1">
        <v>1037</v>
      </c>
      <c r="X31" s="1">
        <v>1086</v>
      </c>
      <c r="Y31" s="1">
        <v>1140</v>
      </c>
      <c r="Z31" s="1">
        <v>1223</v>
      </c>
      <c r="AA31">
        <v>362</v>
      </c>
      <c r="AB31">
        <v>354</v>
      </c>
      <c r="AC31">
        <v>389</v>
      </c>
      <c r="AD31">
        <v>425</v>
      </c>
      <c r="AE31">
        <v>489</v>
      </c>
      <c r="AF31">
        <v>517</v>
      </c>
      <c r="AG31">
        <v>535</v>
      </c>
      <c r="AH31">
        <v>553</v>
      </c>
      <c r="AI31">
        <v>583</v>
      </c>
      <c r="AJ31">
        <v>634</v>
      </c>
      <c r="AK31">
        <v>605</v>
      </c>
      <c r="AL31">
        <v>676</v>
      </c>
      <c r="AM31">
        <v>769</v>
      </c>
      <c r="AN31">
        <v>738</v>
      </c>
      <c r="AO31">
        <v>703</v>
      </c>
      <c r="AP31">
        <v>685</v>
      </c>
      <c r="AQ31">
        <v>720</v>
      </c>
      <c r="AR31">
        <v>767</v>
      </c>
      <c r="AS31">
        <v>859</v>
      </c>
      <c r="AT31">
        <v>689</v>
      </c>
      <c r="AU31">
        <v>600</v>
      </c>
      <c r="AV31">
        <v>574</v>
      </c>
      <c r="AW31">
        <v>674</v>
      </c>
      <c r="AX31">
        <v>661</v>
      </c>
      <c r="AY31">
        <v>708</v>
      </c>
      <c r="AZ31">
        <v>465</v>
      </c>
      <c r="BA31">
        <v>469</v>
      </c>
      <c r="BB31">
        <v>470</v>
      </c>
      <c r="BC31">
        <v>479</v>
      </c>
      <c r="BD31">
        <v>534</v>
      </c>
      <c r="BE31">
        <v>543</v>
      </c>
      <c r="BF31">
        <v>581</v>
      </c>
      <c r="BG31">
        <v>648</v>
      </c>
      <c r="BH31">
        <v>637</v>
      </c>
      <c r="BI31">
        <v>647</v>
      </c>
      <c r="BJ31">
        <v>716</v>
      </c>
      <c r="BK31">
        <v>770</v>
      </c>
      <c r="BL31">
        <v>790</v>
      </c>
      <c r="BM31">
        <v>876</v>
      </c>
      <c r="BN31">
        <v>839</v>
      </c>
      <c r="BO31">
        <v>864</v>
      </c>
      <c r="BP31">
        <v>821</v>
      </c>
      <c r="BQ31">
        <v>867</v>
      </c>
      <c r="BR31" s="1">
        <v>1018</v>
      </c>
      <c r="BS31">
        <v>774</v>
      </c>
      <c r="BT31">
        <v>799</v>
      </c>
      <c r="BU31">
        <v>814</v>
      </c>
      <c r="BV31">
        <v>817</v>
      </c>
      <c r="BW31">
        <v>892</v>
      </c>
      <c r="BX31">
        <v>906</v>
      </c>
      <c r="BY31">
        <v>534</v>
      </c>
      <c r="BZ31">
        <v>551</v>
      </c>
      <c r="CA31">
        <v>625</v>
      </c>
      <c r="CB31">
        <v>685</v>
      </c>
      <c r="CC31">
        <v>766</v>
      </c>
      <c r="CD31">
        <v>678</v>
      </c>
      <c r="CE31">
        <v>773</v>
      </c>
      <c r="CF31">
        <v>818</v>
      </c>
      <c r="CG31">
        <v>898</v>
      </c>
      <c r="CH31">
        <v>910</v>
      </c>
      <c r="CI31">
        <v>934</v>
      </c>
      <c r="CJ31">
        <v>973</v>
      </c>
      <c r="CK31">
        <v>980</v>
      </c>
      <c r="CL31">
        <v>996</v>
      </c>
      <c r="CM31" s="1">
        <v>1087</v>
      </c>
      <c r="CN31">
        <v>995</v>
      </c>
      <c r="CO31" s="1">
        <v>1090</v>
      </c>
      <c r="CP31" s="1">
        <v>1106</v>
      </c>
      <c r="CQ31" s="1">
        <v>1280</v>
      </c>
      <c r="CR31" s="1">
        <v>1046</v>
      </c>
      <c r="CS31" s="1">
        <v>1097</v>
      </c>
      <c r="CT31">
        <v>980</v>
      </c>
      <c r="CU31" s="1">
        <v>1037</v>
      </c>
      <c r="CV31" s="1">
        <v>1085</v>
      </c>
      <c r="CW31" s="1">
        <v>1139</v>
      </c>
      <c r="CX31">
        <v>638</v>
      </c>
      <c r="CY31">
        <v>712</v>
      </c>
      <c r="CZ31">
        <v>724</v>
      </c>
      <c r="DA31">
        <v>792</v>
      </c>
      <c r="DB31">
        <v>853</v>
      </c>
      <c r="DC31">
        <v>963</v>
      </c>
      <c r="DD31">
        <v>953</v>
      </c>
      <c r="DE31">
        <v>926</v>
      </c>
      <c r="DF31">
        <v>977</v>
      </c>
      <c r="DG31" s="1">
        <v>1069</v>
      </c>
      <c r="DH31" s="1">
        <v>1189</v>
      </c>
      <c r="DI31" s="1">
        <v>1231</v>
      </c>
      <c r="DJ31" s="1">
        <v>1285</v>
      </c>
      <c r="DK31" s="1">
        <v>1393</v>
      </c>
      <c r="DL31" s="1">
        <v>1482</v>
      </c>
      <c r="DM31" s="1">
        <v>1501</v>
      </c>
      <c r="DN31" s="1">
        <v>1511</v>
      </c>
      <c r="DO31" s="1">
        <v>1545</v>
      </c>
      <c r="DP31" s="1">
        <v>2261</v>
      </c>
      <c r="DQ31" s="1">
        <v>1581</v>
      </c>
      <c r="DR31" s="1">
        <v>1790</v>
      </c>
      <c r="DS31" s="1">
        <v>1809</v>
      </c>
      <c r="DT31" s="1">
        <v>1806</v>
      </c>
      <c r="DU31" s="1">
        <v>1911</v>
      </c>
      <c r="DV31" s="1">
        <v>2011</v>
      </c>
    </row>
    <row r="32" spans="1:126" x14ac:dyDescent="0.25">
      <c r="A32" t="s">
        <v>36</v>
      </c>
      <c r="B32" s="1">
        <v>1277</v>
      </c>
      <c r="C32" s="1">
        <v>1567</v>
      </c>
      <c r="D32" s="1">
        <v>1300</v>
      </c>
      <c r="E32" s="1">
        <v>1437</v>
      </c>
      <c r="F32" s="1">
        <v>1429</v>
      </c>
      <c r="G32" s="1">
        <v>1586</v>
      </c>
      <c r="H32" s="1">
        <v>1901</v>
      </c>
      <c r="I32" s="1">
        <v>2039</v>
      </c>
      <c r="J32" s="1">
        <v>2224</v>
      </c>
      <c r="K32" s="1">
        <v>2264</v>
      </c>
      <c r="L32" s="1">
        <v>2398</v>
      </c>
      <c r="M32" s="1">
        <v>2345</v>
      </c>
      <c r="N32" s="1">
        <v>2258</v>
      </c>
      <c r="O32" s="1">
        <v>2513</v>
      </c>
      <c r="P32" s="1">
        <v>2661</v>
      </c>
      <c r="Q32" s="1">
        <v>2701</v>
      </c>
      <c r="R32" s="1">
        <v>2757</v>
      </c>
      <c r="S32" s="1">
        <v>2730</v>
      </c>
      <c r="T32" s="1">
        <v>2649</v>
      </c>
      <c r="U32" s="1">
        <v>3004</v>
      </c>
      <c r="V32" s="1">
        <v>3152</v>
      </c>
      <c r="W32">
        <v>905</v>
      </c>
      <c r="X32" s="1">
        <v>1078</v>
      </c>
      <c r="Y32" s="1">
        <v>1383</v>
      </c>
      <c r="Z32" s="1">
        <v>1508</v>
      </c>
      <c r="AA32" s="1">
        <v>2219</v>
      </c>
      <c r="AB32" s="1">
        <v>2174</v>
      </c>
      <c r="AC32" s="1">
        <v>2341</v>
      </c>
      <c r="AD32" s="1">
        <v>2268</v>
      </c>
      <c r="AE32" s="1">
        <v>2432</v>
      </c>
      <c r="AF32" s="1">
        <v>2521</v>
      </c>
      <c r="AG32" s="1">
        <v>2659</v>
      </c>
      <c r="AH32" s="1">
        <v>2870</v>
      </c>
      <c r="AI32" s="1">
        <v>3148</v>
      </c>
      <c r="AJ32" s="1">
        <v>3269</v>
      </c>
      <c r="AK32" s="1">
        <v>3185</v>
      </c>
      <c r="AL32" s="1">
        <v>3174</v>
      </c>
      <c r="AM32" s="1">
        <v>3242</v>
      </c>
      <c r="AN32" s="1">
        <v>3439</v>
      </c>
      <c r="AO32" s="1">
        <v>3421</v>
      </c>
      <c r="AP32" s="1">
        <v>3379</v>
      </c>
      <c r="AQ32" s="1">
        <v>3460</v>
      </c>
      <c r="AR32" s="1">
        <v>3666</v>
      </c>
      <c r="AS32" s="1">
        <v>3763</v>
      </c>
      <c r="AT32" s="1">
        <v>4169</v>
      </c>
      <c r="AU32" s="1">
        <v>4266</v>
      </c>
      <c r="AV32" s="1">
        <v>2601</v>
      </c>
      <c r="AW32" s="1">
        <v>3027</v>
      </c>
      <c r="AX32" s="1">
        <v>3879</v>
      </c>
      <c r="AY32" s="1">
        <v>4165</v>
      </c>
      <c r="AZ32" s="1">
        <v>3042</v>
      </c>
      <c r="BA32" s="1">
        <v>3199</v>
      </c>
      <c r="BB32" s="1">
        <v>3409</v>
      </c>
      <c r="BC32" s="1">
        <v>3515</v>
      </c>
      <c r="BD32" s="1">
        <v>3509</v>
      </c>
      <c r="BE32" s="1">
        <v>3600</v>
      </c>
      <c r="BF32" s="1">
        <v>3755</v>
      </c>
      <c r="BG32" s="1">
        <v>3970</v>
      </c>
      <c r="BH32" s="1">
        <v>4045</v>
      </c>
      <c r="BI32" s="1">
        <v>4453</v>
      </c>
      <c r="BJ32" s="1">
        <v>4223</v>
      </c>
      <c r="BK32" s="1">
        <v>4201</v>
      </c>
      <c r="BL32" s="1">
        <v>4322</v>
      </c>
      <c r="BM32" s="1">
        <v>4477</v>
      </c>
      <c r="BN32" s="1">
        <v>4551</v>
      </c>
      <c r="BO32" s="1">
        <v>5027</v>
      </c>
      <c r="BP32" s="1">
        <v>5031</v>
      </c>
      <c r="BQ32" s="1">
        <v>4996</v>
      </c>
      <c r="BR32" s="1">
        <v>5182</v>
      </c>
      <c r="BS32" s="1">
        <v>5729</v>
      </c>
      <c r="BT32" s="1">
        <v>5746</v>
      </c>
      <c r="BU32" s="1">
        <v>4075</v>
      </c>
      <c r="BV32" s="1">
        <v>4888</v>
      </c>
      <c r="BW32" s="1">
        <v>6206</v>
      </c>
      <c r="BX32" s="1">
        <v>6765</v>
      </c>
      <c r="BY32" s="1">
        <v>4285</v>
      </c>
      <c r="BZ32" s="1">
        <v>4464</v>
      </c>
      <c r="CA32" s="1">
        <v>4757</v>
      </c>
      <c r="CB32" s="1">
        <v>4616</v>
      </c>
      <c r="CC32" s="1">
        <v>4856</v>
      </c>
      <c r="CD32" s="1">
        <v>4943</v>
      </c>
      <c r="CE32" s="1">
        <v>5039</v>
      </c>
      <c r="CF32" s="1">
        <v>5144</v>
      </c>
      <c r="CG32" s="1">
        <v>5442</v>
      </c>
      <c r="CH32" s="1">
        <v>5580</v>
      </c>
      <c r="CI32" s="1">
        <v>5630</v>
      </c>
      <c r="CJ32" s="1">
        <v>5993</v>
      </c>
      <c r="CK32" s="1">
        <v>6258</v>
      </c>
      <c r="CL32" s="1">
        <v>6160</v>
      </c>
      <c r="CM32" s="1">
        <v>6560</v>
      </c>
      <c r="CN32" s="1">
        <v>6492</v>
      </c>
      <c r="CO32" s="1">
        <v>6707</v>
      </c>
      <c r="CP32" s="1">
        <v>6942</v>
      </c>
      <c r="CQ32" s="1">
        <v>6913</v>
      </c>
      <c r="CR32" s="1">
        <v>7216</v>
      </c>
      <c r="CS32" s="1">
        <v>7341</v>
      </c>
      <c r="CT32" s="1">
        <v>5395</v>
      </c>
      <c r="CU32" s="1">
        <v>6336</v>
      </c>
      <c r="CV32" s="1">
        <v>7948</v>
      </c>
      <c r="CW32" s="1">
        <v>8654</v>
      </c>
      <c r="CX32" s="1">
        <v>6251</v>
      </c>
      <c r="CY32" s="1">
        <v>6642</v>
      </c>
      <c r="CZ32" s="1">
        <v>6746</v>
      </c>
      <c r="DA32" s="1">
        <v>7085</v>
      </c>
      <c r="DB32" s="1">
        <v>7092</v>
      </c>
      <c r="DC32" s="1">
        <v>7321</v>
      </c>
      <c r="DD32" s="1">
        <v>7657</v>
      </c>
      <c r="DE32" s="1">
        <v>7950</v>
      </c>
      <c r="DF32" s="1">
        <v>8234</v>
      </c>
      <c r="DG32" s="1">
        <v>8302</v>
      </c>
      <c r="DH32" s="1">
        <v>8219</v>
      </c>
      <c r="DI32" s="1">
        <v>8729</v>
      </c>
      <c r="DJ32" s="1">
        <v>9053</v>
      </c>
      <c r="DK32" s="1">
        <v>9491</v>
      </c>
      <c r="DL32" s="1">
        <v>9623</v>
      </c>
      <c r="DM32" s="1">
        <v>10025</v>
      </c>
      <c r="DN32" s="1">
        <v>10595</v>
      </c>
      <c r="DO32" s="1">
        <v>10531</v>
      </c>
      <c r="DP32" s="1">
        <v>10177</v>
      </c>
      <c r="DQ32" s="1">
        <v>11146</v>
      </c>
      <c r="DR32" s="1">
        <v>11566</v>
      </c>
      <c r="DS32" s="1">
        <v>8861</v>
      </c>
      <c r="DT32" s="1">
        <v>10086</v>
      </c>
      <c r="DU32" s="1">
        <v>12876</v>
      </c>
      <c r="DV32" s="1">
        <v>14023</v>
      </c>
    </row>
    <row r="33" spans="1:126" x14ac:dyDescent="0.25">
      <c r="A33" t="s">
        <v>37</v>
      </c>
      <c r="B33" s="1">
        <v>1393</v>
      </c>
      <c r="C33" s="1">
        <v>1562</v>
      </c>
      <c r="D33" s="1">
        <v>1428</v>
      </c>
      <c r="E33" s="1">
        <v>1675</v>
      </c>
      <c r="F33" s="1">
        <v>1568</v>
      </c>
      <c r="G33" s="1">
        <v>1814</v>
      </c>
      <c r="H33" s="1">
        <v>2031</v>
      </c>
      <c r="I33" s="1">
        <v>2327</v>
      </c>
      <c r="J33" s="1">
        <v>2584</v>
      </c>
      <c r="K33" s="1">
        <v>2663</v>
      </c>
      <c r="L33" s="1">
        <v>2304</v>
      </c>
      <c r="M33" s="1">
        <v>2463</v>
      </c>
      <c r="N33" s="1">
        <v>2754</v>
      </c>
      <c r="O33" s="1">
        <v>2677</v>
      </c>
      <c r="P33" s="1">
        <v>2785</v>
      </c>
      <c r="Q33" s="1">
        <v>3015</v>
      </c>
      <c r="R33" s="1">
        <v>3077</v>
      </c>
      <c r="S33" s="1">
        <v>3038</v>
      </c>
      <c r="T33" s="1">
        <v>3434</v>
      </c>
      <c r="U33" s="1">
        <v>3229</v>
      </c>
      <c r="V33" s="1">
        <v>4489</v>
      </c>
      <c r="W33" s="1">
        <v>4885</v>
      </c>
      <c r="X33" s="1">
        <v>5329</v>
      </c>
      <c r="Y33" s="1">
        <v>5331</v>
      </c>
      <c r="Z33" s="1">
        <v>5124</v>
      </c>
      <c r="AA33" s="1">
        <v>2350</v>
      </c>
      <c r="AB33" s="1">
        <v>2449</v>
      </c>
      <c r="AC33" s="1">
        <v>2467</v>
      </c>
      <c r="AD33" s="1">
        <v>2644</v>
      </c>
      <c r="AE33" s="1">
        <v>2942</v>
      </c>
      <c r="AF33" s="1">
        <v>3020</v>
      </c>
      <c r="AG33" s="1">
        <v>3121</v>
      </c>
      <c r="AH33" s="1">
        <v>3366</v>
      </c>
      <c r="AI33" s="1">
        <v>3686</v>
      </c>
      <c r="AJ33" s="1">
        <v>3814</v>
      </c>
      <c r="AK33" s="1">
        <v>3430</v>
      </c>
      <c r="AL33" s="1">
        <v>3557</v>
      </c>
      <c r="AM33" s="1">
        <v>3673</v>
      </c>
      <c r="AN33" s="1">
        <v>3564</v>
      </c>
      <c r="AO33" s="1">
        <v>3605</v>
      </c>
      <c r="AP33" s="1">
        <v>3810</v>
      </c>
      <c r="AQ33" s="1">
        <v>3966</v>
      </c>
      <c r="AR33" s="1">
        <v>3864</v>
      </c>
      <c r="AS33" s="1">
        <v>4222</v>
      </c>
      <c r="AT33" s="1">
        <v>4089</v>
      </c>
      <c r="AU33" s="1">
        <v>4958</v>
      </c>
      <c r="AV33" s="1">
        <v>5130</v>
      </c>
      <c r="AW33" s="1">
        <v>5616</v>
      </c>
      <c r="AX33" s="1">
        <v>5601</v>
      </c>
      <c r="AY33" s="1">
        <v>5453</v>
      </c>
      <c r="AZ33" s="1">
        <v>3423</v>
      </c>
      <c r="BA33" s="1">
        <v>3600</v>
      </c>
      <c r="BB33" s="1">
        <v>3529</v>
      </c>
      <c r="BC33" s="1">
        <v>3643</v>
      </c>
      <c r="BD33" s="1">
        <v>3627</v>
      </c>
      <c r="BE33" s="1">
        <v>3933</v>
      </c>
      <c r="BF33" s="1">
        <v>4043</v>
      </c>
      <c r="BG33" s="1">
        <v>4412</v>
      </c>
      <c r="BH33" s="1">
        <v>4468</v>
      </c>
      <c r="BI33" s="1">
        <v>4335</v>
      </c>
      <c r="BJ33" s="1">
        <v>4173</v>
      </c>
      <c r="BK33" s="1">
        <v>4728</v>
      </c>
      <c r="BL33" s="1">
        <v>4907</v>
      </c>
      <c r="BM33" s="1">
        <v>5111</v>
      </c>
      <c r="BN33" s="1">
        <v>4893</v>
      </c>
      <c r="BO33" s="1">
        <v>5209</v>
      </c>
      <c r="BP33" s="1">
        <v>5170</v>
      </c>
      <c r="BQ33" s="1">
        <v>5332</v>
      </c>
      <c r="BR33" s="1">
        <v>5530</v>
      </c>
      <c r="BS33" s="1">
        <v>5470</v>
      </c>
      <c r="BT33" s="1">
        <v>6204</v>
      </c>
      <c r="BU33" s="1">
        <v>6403</v>
      </c>
      <c r="BV33" s="1">
        <v>7177</v>
      </c>
      <c r="BW33" s="1">
        <v>7201</v>
      </c>
      <c r="BX33" s="1">
        <v>6858</v>
      </c>
      <c r="BY33" s="1">
        <v>4281</v>
      </c>
      <c r="BZ33" s="1">
        <v>4351</v>
      </c>
      <c r="CA33" s="1">
        <v>4704</v>
      </c>
      <c r="CB33" s="1">
        <v>4730</v>
      </c>
      <c r="CC33" s="1">
        <v>5067</v>
      </c>
      <c r="CD33" s="1">
        <v>4936</v>
      </c>
      <c r="CE33" s="1">
        <v>5238</v>
      </c>
      <c r="CF33" s="1">
        <v>5456</v>
      </c>
      <c r="CG33" s="1">
        <v>5786</v>
      </c>
      <c r="CH33" s="1">
        <v>5548</v>
      </c>
      <c r="CI33" s="1">
        <v>5485</v>
      </c>
      <c r="CJ33" s="1">
        <v>6024</v>
      </c>
      <c r="CK33" s="1">
        <v>6256</v>
      </c>
      <c r="CL33" s="1">
        <v>6194</v>
      </c>
      <c r="CM33" s="1">
        <v>6482</v>
      </c>
      <c r="CN33" s="1">
        <v>6769</v>
      </c>
      <c r="CO33" s="1">
        <v>7318</v>
      </c>
      <c r="CP33" s="1">
        <v>7662</v>
      </c>
      <c r="CQ33" s="1">
        <v>7797</v>
      </c>
      <c r="CR33" s="1">
        <v>7223</v>
      </c>
      <c r="CS33" s="1">
        <v>7053</v>
      </c>
      <c r="CT33" s="1">
        <v>7251</v>
      </c>
      <c r="CU33" s="1">
        <v>7973</v>
      </c>
      <c r="CV33" s="1">
        <v>7972</v>
      </c>
      <c r="CW33" s="1">
        <v>7657</v>
      </c>
      <c r="CX33" s="1">
        <v>8558</v>
      </c>
      <c r="CY33" s="1">
        <v>9108</v>
      </c>
      <c r="CZ33" s="1">
        <v>9080</v>
      </c>
      <c r="DA33" s="1">
        <v>9766</v>
      </c>
      <c r="DB33" s="1">
        <v>9772</v>
      </c>
      <c r="DC33" s="1">
        <v>10688</v>
      </c>
      <c r="DD33" s="1">
        <v>11494</v>
      </c>
      <c r="DE33" s="1">
        <v>11685</v>
      </c>
      <c r="DF33" s="1">
        <v>12583</v>
      </c>
      <c r="DG33" s="1">
        <v>12540</v>
      </c>
      <c r="DH33" s="1">
        <v>11941</v>
      </c>
      <c r="DI33" s="1">
        <v>12407</v>
      </c>
      <c r="DJ33" s="1">
        <v>12392</v>
      </c>
      <c r="DK33" s="1">
        <v>12182</v>
      </c>
      <c r="DL33" s="1">
        <v>13108</v>
      </c>
      <c r="DM33" s="1">
        <v>13694</v>
      </c>
      <c r="DN33" s="1">
        <v>14224</v>
      </c>
      <c r="DO33" s="1">
        <v>14569</v>
      </c>
      <c r="DP33" s="1">
        <v>14893</v>
      </c>
      <c r="DQ33" s="1">
        <v>13534</v>
      </c>
      <c r="DR33" s="1">
        <v>11401</v>
      </c>
      <c r="DS33" s="1">
        <v>11160</v>
      </c>
      <c r="DT33" s="1">
        <v>11830</v>
      </c>
      <c r="DU33" s="1">
        <v>11864</v>
      </c>
      <c r="DV33" s="1">
        <v>11433</v>
      </c>
    </row>
    <row r="34" spans="1:126" x14ac:dyDescent="0.25">
      <c r="A34" t="s">
        <v>38</v>
      </c>
      <c r="B34" s="1">
        <v>1129</v>
      </c>
      <c r="C34" s="1">
        <v>1270</v>
      </c>
      <c r="D34" s="1">
        <v>1221</v>
      </c>
      <c r="E34" s="1">
        <v>1378</v>
      </c>
      <c r="F34" s="1">
        <v>1386</v>
      </c>
      <c r="G34" s="1">
        <v>1524</v>
      </c>
      <c r="H34" s="1">
        <v>1656</v>
      </c>
      <c r="I34" s="1">
        <v>1841</v>
      </c>
      <c r="J34" s="1">
        <v>1901</v>
      </c>
      <c r="K34" s="1">
        <v>1964</v>
      </c>
      <c r="L34" s="1">
        <v>1929</v>
      </c>
      <c r="M34" s="1">
        <v>1995</v>
      </c>
      <c r="N34" s="1">
        <v>2062</v>
      </c>
      <c r="O34" s="1">
        <v>2344</v>
      </c>
      <c r="P34" s="1">
        <v>2431</v>
      </c>
      <c r="Q34" s="1">
        <v>2447</v>
      </c>
      <c r="R34" s="1">
        <v>2495</v>
      </c>
      <c r="S34" s="1">
        <v>2629</v>
      </c>
      <c r="T34" s="1">
        <v>2642</v>
      </c>
      <c r="U34" s="1">
        <v>2597</v>
      </c>
      <c r="V34" s="1">
        <v>3612</v>
      </c>
      <c r="W34" s="1">
        <v>3171</v>
      </c>
      <c r="X34" s="1">
        <v>3400</v>
      </c>
      <c r="Y34" s="1">
        <v>3693</v>
      </c>
      <c r="Z34" s="1">
        <v>3811</v>
      </c>
      <c r="AA34" s="1">
        <v>1821</v>
      </c>
      <c r="AB34" s="1">
        <v>1812</v>
      </c>
      <c r="AC34" s="1">
        <v>2015</v>
      </c>
      <c r="AD34" s="1">
        <v>1971</v>
      </c>
      <c r="AE34" s="1">
        <v>2084</v>
      </c>
      <c r="AF34" s="1">
        <v>2188</v>
      </c>
      <c r="AG34" s="1">
        <v>2278</v>
      </c>
      <c r="AH34" s="1">
        <v>2319</v>
      </c>
      <c r="AI34" s="1">
        <v>2537</v>
      </c>
      <c r="AJ34" s="1">
        <v>2590</v>
      </c>
      <c r="AK34" s="1">
        <v>2634</v>
      </c>
      <c r="AL34" s="1">
        <v>2644</v>
      </c>
      <c r="AM34" s="1">
        <v>2692</v>
      </c>
      <c r="AN34" s="1">
        <v>2942</v>
      </c>
      <c r="AO34" s="1">
        <v>2832</v>
      </c>
      <c r="AP34" s="1">
        <v>3058</v>
      </c>
      <c r="AQ34" s="1">
        <v>3154</v>
      </c>
      <c r="AR34" s="1">
        <v>3238</v>
      </c>
      <c r="AS34" s="1">
        <v>3388</v>
      </c>
      <c r="AT34" s="1">
        <v>3632</v>
      </c>
      <c r="AU34" s="1">
        <v>3507</v>
      </c>
      <c r="AV34" s="1">
        <v>3471</v>
      </c>
      <c r="AW34" s="1">
        <v>3884</v>
      </c>
      <c r="AX34" s="1">
        <v>4214</v>
      </c>
      <c r="AY34" s="1">
        <v>4398</v>
      </c>
      <c r="AZ34" s="1">
        <v>2304</v>
      </c>
      <c r="BA34" s="1">
        <v>2389</v>
      </c>
      <c r="BB34" s="1">
        <v>2560</v>
      </c>
      <c r="BC34" s="1">
        <v>2549</v>
      </c>
      <c r="BD34" s="1">
        <v>2630</v>
      </c>
      <c r="BE34" s="1">
        <v>2658</v>
      </c>
      <c r="BF34" s="1">
        <v>2748</v>
      </c>
      <c r="BG34" s="1">
        <v>2944</v>
      </c>
      <c r="BH34" s="1">
        <v>2970</v>
      </c>
      <c r="BI34" s="1">
        <v>2976</v>
      </c>
      <c r="BJ34" s="1">
        <v>3133</v>
      </c>
      <c r="BK34" s="1">
        <v>3401</v>
      </c>
      <c r="BL34" s="1">
        <v>3548</v>
      </c>
      <c r="BM34" s="1">
        <v>3479</v>
      </c>
      <c r="BN34" s="1">
        <v>3641</v>
      </c>
      <c r="BO34" s="1">
        <v>3789</v>
      </c>
      <c r="BP34" s="1">
        <v>3793</v>
      </c>
      <c r="BQ34" s="1">
        <v>3978</v>
      </c>
      <c r="BR34" s="1">
        <v>3938</v>
      </c>
      <c r="BS34" s="1">
        <v>4038</v>
      </c>
      <c r="BT34" s="1">
        <v>4005</v>
      </c>
      <c r="BU34" s="1">
        <v>3662</v>
      </c>
      <c r="BV34" s="1">
        <v>4020</v>
      </c>
      <c r="BW34" s="1">
        <v>4685</v>
      </c>
      <c r="BX34" s="1">
        <v>4800</v>
      </c>
      <c r="BY34" s="1">
        <v>2851</v>
      </c>
      <c r="BZ34" s="1">
        <v>2903</v>
      </c>
      <c r="CA34" s="1">
        <v>2918</v>
      </c>
      <c r="CB34" s="1">
        <v>3163</v>
      </c>
      <c r="CC34" s="1">
        <v>3182</v>
      </c>
      <c r="CD34" s="1">
        <v>3193</v>
      </c>
      <c r="CE34" s="1">
        <v>3389</v>
      </c>
      <c r="CF34" s="1">
        <v>3541</v>
      </c>
      <c r="CG34" s="1">
        <v>3620</v>
      </c>
      <c r="CH34" s="1">
        <v>3821</v>
      </c>
      <c r="CI34" s="1">
        <v>3743</v>
      </c>
      <c r="CJ34" s="1">
        <v>3989</v>
      </c>
      <c r="CK34" s="1">
        <v>3975</v>
      </c>
      <c r="CL34" s="1">
        <v>4114</v>
      </c>
      <c r="CM34" s="1">
        <v>4173</v>
      </c>
      <c r="CN34" s="1">
        <v>4329</v>
      </c>
      <c r="CO34" s="1">
        <v>4660</v>
      </c>
      <c r="CP34" s="1">
        <v>4828</v>
      </c>
      <c r="CQ34" s="1">
        <v>4866</v>
      </c>
      <c r="CR34" s="1">
        <v>5010</v>
      </c>
      <c r="CS34" s="1">
        <v>5328</v>
      </c>
      <c r="CT34" s="1">
        <v>4900</v>
      </c>
      <c r="CU34" s="1">
        <v>5516</v>
      </c>
      <c r="CV34" s="1">
        <v>5446</v>
      </c>
      <c r="CW34" s="1">
        <v>5609</v>
      </c>
      <c r="CX34" s="1">
        <v>3855</v>
      </c>
      <c r="CY34" s="1">
        <v>3965</v>
      </c>
      <c r="CZ34" s="1">
        <v>4014</v>
      </c>
      <c r="DA34" s="1">
        <v>4225</v>
      </c>
      <c r="DB34" s="1">
        <v>4415</v>
      </c>
      <c r="DC34" s="1">
        <v>4683</v>
      </c>
      <c r="DD34" s="1">
        <v>4730</v>
      </c>
      <c r="DE34" s="1">
        <v>4790</v>
      </c>
      <c r="DF34" s="1">
        <v>5074</v>
      </c>
      <c r="DG34" s="1">
        <v>5277</v>
      </c>
      <c r="DH34" s="1">
        <v>5467</v>
      </c>
      <c r="DI34" s="1">
        <v>5443</v>
      </c>
      <c r="DJ34" s="1">
        <v>5642</v>
      </c>
      <c r="DK34" s="1">
        <v>5564</v>
      </c>
      <c r="DL34" s="1">
        <v>5681</v>
      </c>
      <c r="DM34" s="1">
        <v>5757</v>
      </c>
      <c r="DN34" s="1">
        <v>5916</v>
      </c>
      <c r="DO34" s="1">
        <v>5763</v>
      </c>
      <c r="DP34" s="1">
        <v>6063</v>
      </c>
      <c r="DQ34" s="1">
        <v>6197</v>
      </c>
      <c r="DR34" s="1">
        <v>5623</v>
      </c>
      <c r="DS34" s="1">
        <v>4914</v>
      </c>
      <c r="DT34" s="1">
        <v>5048</v>
      </c>
      <c r="DU34" s="1">
        <v>5708</v>
      </c>
      <c r="DV34" s="1">
        <v>5885</v>
      </c>
    </row>
    <row r="35" spans="1:126" x14ac:dyDescent="0.25">
      <c r="A35" t="s">
        <v>39</v>
      </c>
      <c r="B35">
        <v>165</v>
      </c>
      <c r="C35">
        <v>287</v>
      </c>
      <c r="D35">
        <v>9</v>
      </c>
      <c r="E35">
        <v>-184</v>
      </c>
      <c r="F35">
        <v>-120</v>
      </c>
      <c r="G35">
        <v>-51</v>
      </c>
      <c r="H35">
        <v>-174</v>
      </c>
      <c r="I35">
        <v>-150</v>
      </c>
      <c r="J35">
        <v>2</v>
      </c>
      <c r="K35">
        <v>88</v>
      </c>
      <c r="L35">
        <v>-218</v>
      </c>
      <c r="M35">
        <v>-231</v>
      </c>
      <c r="N35">
        <v>-414</v>
      </c>
      <c r="O35">
        <v>-184</v>
      </c>
      <c r="P35">
        <v>-148</v>
      </c>
      <c r="Q35">
        <v>-682</v>
      </c>
      <c r="R35">
        <v>-476</v>
      </c>
      <c r="S35">
        <v>-197</v>
      </c>
      <c r="T35">
        <v>0</v>
      </c>
      <c r="U35">
        <v>-122</v>
      </c>
      <c r="V35">
        <v>-161</v>
      </c>
      <c r="W35">
        <v>-403</v>
      </c>
      <c r="X35">
        <v>-230</v>
      </c>
      <c r="Y35">
        <v>-327</v>
      </c>
      <c r="Z35">
        <v>-620</v>
      </c>
      <c r="AA35">
        <v>681</v>
      </c>
      <c r="AB35" s="1">
        <v>1315</v>
      </c>
      <c r="AC35">
        <v>412</v>
      </c>
      <c r="AD35">
        <v>158</v>
      </c>
      <c r="AE35">
        <v>68</v>
      </c>
      <c r="AF35">
        <v>-69</v>
      </c>
      <c r="AG35">
        <v>163</v>
      </c>
      <c r="AH35">
        <v>354</v>
      </c>
      <c r="AI35">
        <v>678</v>
      </c>
      <c r="AJ35">
        <v>751</v>
      </c>
      <c r="AK35">
        <v>61</v>
      </c>
      <c r="AL35">
        <v>214</v>
      </c>
      <c r="AM35">
        <v>724</v>
      </c>
      <c r="AN35">
        <v>116</v>
      </c>
      <c r="AO35">
        <v>-365</v>
      </c>
      <c r="AP35">
        <v>64</v>
      </c>
      <c r="AQ35">
        <v>49</v>
      </c>
      <c r="AR35">
        <v>216</v>
      </c>
      <c r="AS35">
        <v>-52</v>
      </c>
      <c r="AT35">
        <v>-439</v>
      </c>
      <c r="AU35">
        <v>-494</v>
      </c>
      <c r="AV35">
        <v>-919</v>
      </c>
      <c r="AW35">
        <v>-247</v>
      </c>
      <c r="AX35" s="1">
        <v>-1119</v>
      </c>
      <c r="AY35" s="1">
        <v>-1434</v>
      </c>
      <c r="AZ35" s="1">
        <v>2277</v>
      </c>
      <c r="BA35" s="1">
        <v>2384</v>
      </c>
      <c r="BB35" s="1">
        <v>1847</v>
      </c>
      <c r="BC35" s="1">
        <v>1263</v>
      </c>
      <c r="BD35" s="1">
        <v>1713</v>
      </c>
      <c r="BE35" s="1">
        <v>1702</v>
      </c>
      <c r="BF35" s="1">
        <v>2162</v>
      </c>
      <c r="BG35" s="1">
        <v>2026</v>
      </c>
      <c r="BH35" s="1">
        <v>2159</v>
      </c>
      <c r="BI35" s="1">
        <v>2753</v>
      </c>
      <c r="BJ35" s="1">
        <v>1965</v>
      </c>
      <c r="BK35" s="1">
        <v>1879</v>
      </c>
      <c r="BL35" s="1">
        <v>2300</v>
      </c>
      <c r="BM35" s="1">
        <v>2523</v>
      </c>
      <c r="BN35" s="1">
        <v>1904</v>
      </c>
      <c r="BO35" s="1">
        <v>2332</v>
      </c>
      <c r="BP35" s="1">
        <v>2306</v>
      </c>
      <c r="BQ35" s="1">
        <v>1763</v>
      </c>
      <c r="BR35" s="1">
        <v>1531</v>
      </c>
      <c r="BS35" s="1">
        <v>1055</v>
      </c>
      <c r="BT35" s="1">
        <v>1260</v>
      </c>
      <c r="BU35" s="1">
        <v>1529</v>
      </c>
      <c r="BV35" s="1">
        <v>2099</v>
      </c>
      <c r="BW35">
        <v>990</v>
      </c>
      <c r="BX35">
        <v>888</v>
      </c>
      <c r="BY35" s="1">
        <v>4534</v>
      </c>
      <c r="BZ35" s="1">
        <v>4763</v>
      </c>
      <c r="CA35" s="1">
        <v>4081</v>
      </c>
      <c r="CB35" s="1">
        <v>4206</v>
      </c>
      <c r="CC35" s="1">
        <v>4415</v>
      </c>
      <c r="CD35" s="1">
        <v>4735</v>
      </c>
      <c r="CE35" s="1">
        <v>5779</v>
      </c>
      <c r="CF35" s="1">
        <v>5532</v>
      </c>
      <c r="CG35" s="1">
        <v>5454</v>
      </c>
      <c r="CH35" s="1">
        <v>5558</v>
      </c>
      <c r="CI35" s="1">
        <v>4871</v>
      </c>
      <c r="CJ35" s="1">
        <v>5164</v>
      </c>
      <c r="CK35" s="1">
        <v>6270</v>
      </c>
      <c r="CL35" s="1">
        <v>6202</v>
      </c>
      <c r="CM35" s="1">
        <v>6835</v>
      </c>
      <c r="CN35" s="1">
        <v>6217</v>
      </c>
      <c r="CO35" s="1">
        <v>5682</v>
      </c>
      <c r="CP35" s="1">
        <v>5863</v>
      </c>
      <c r="CQ35" s="1">
        <v>5799</v>
      </c>
      <c r="CR35" s="1">
        <v>5904</v>
      </c>
      <c r="CS35" s="1">
        <v>6413</v>
      </c>
      <c r="CT35" s="1">
        <v>5556</v>
      </c>
      <c r="CU35" s="1">
        <v>5124</v>
      </c>
      <c r="CV35" s="1">
        <v>5578</v>
      </c>
      <c r="CW35" s="1">
        <v>6370</v>
      </c>
      <c r="CX35" s="1">
        <v>5867</v>
      </c>
      <c r="CY35" s="1">
        <v>7015</v>
      </c>
      <c r="CZ35" s="1">
        <v>5752</v>
      </c>
      <c r="DA35" s="1">
        <v>6401</v>
      </c>
      <c r="DB35" s="1">
        <v>6786</v>
      </c>
      <c r="DC35" s="1">
        <v>7483</v>
      </c>
      <c r="DD35" s="1">
        <v>8180</v>
      </c>
      <c r="DE35" s="1">
        <v>7491</v>
      </c>
      <c r="DF35" s="1">
        <v>8031</v>
      </c>
      <c r="DG35" s="1">
        <v>7665</v>
      </c>
      <c r="DH35" s="1">
        <v>7252</v>
      </c>
      <c r="DI35" s="1">
        <v>6741</v>
      </c>
      <c r="DJ35" s="1">
        <v>7797</v>
      </c>
      <c r="DK35" s="1">
        <v>8042</v>
      </c>
      <c r="DL35" s="1">
        <v>7372</v>
      </c>
      <c r="DM35" s="1">
        <v>8029</v>
      </c>
      <c r="DN35" s="1">
        <v>7218</v>
      </c>
      <c r="DO35" s="1">
        <v>6936</v>
      </c>
      <c r="DP35" s="1">
        <v>7221</v>
      </c>
      <c r="DQ35" s="1">
        <v>7657</v>
      </c>
      <c r="DR35" s="1">
        <v>8142</v>
      </c>
      <c r="DS35" s="1">
        <v>6622</v>
      </c>
      <c r="DT35" s="1">
        <v>6748</v>
      </c>
      <c r="DU35" s="1">
        <v>7393</v>
      </c>
      <c r="DV35" s="1">
        <v>8008</v>
      </c>
    </row>
    <row r="36" spans="1:126" x14ac:dyDescent="0.25">
      <c r="A36" t="s">
        <v>40</v>
      </c>
      <c r="B36" s="1">
        <v>-9381</v>
      </c>
      <c r="C36" s="1">
        <v>-10792</v>
      </c>
      <c r="D36" s="1">
        <v>-9111</v>
      </c>
      <c r="E36" s="1">
        <v>-11284</v>
      </c>
      <c r="F36" s="1">
        <v>-11106</v>
      </c>
      <c r="G36" s="1">
        <v>-13218</v>
      </c>
      <c r="H36" s="1">
        <v>-16101</v>
      </c>
      <c r="I36" s="1">
        <v>-17960</v>
      </c>
      <c r="J36" s="1">
        <v>-18331</v>
      </c>
      <c r="K36" s="1">
        <v>-19540</v>
      </c>
      <c r="L36" s="1">
        <v>-18470</v>
      </c>
      <c r="M36" s="1">
        <v>-19816</v>
      </c>
      <c r="N36" s="1">
        <v>-19561</v>
      </c>
      <c r="O36" s="1">
        <v>-19744</v>
      </c>
      <c r="P36" s="1">
        <v>-21954</v>
      </c>
      <c r="Q36" s="1">
        <v>-23918</v>
      </c>
      <c r="R36" s="1">
        <v>-24838</v>
      </c>
      <c r="S36" s="1">
        <v>-25091</v>
      </c>
      <c r="T36" s="1">
        <v>-26121</v>
      </c>
      <c r="U36" s="1">
        <v>-26947</v>
      </c>
      <c r="V36" s="1">
        <v>-30139</v>
      </c>
      <c r="W36" s="1">
        <v>-17760</v>
      </c>
      <c r="X36" s="1">
        <v>-24222</v>
      </c>
      <c r="Y36" s="1">
        <v>-29019</v>
      </c>
      <c r="Z36" s="1">
        <v>-30984</v>
      </c>
      <c r="AA36" s="1">
        <v>-5981</v>
      </c>
      <c r="AB36" s="1">
        <v>-5446</v>
      </c>
      <c r="AC36" s="1">
        <v>-5326</v>
      </c>
      <c r="AD36" s="1">
        <v>-6854</v>
      </c>
      <c r="AE36" s="1">
        <v>-8030</v>
      </c>
      <c r="AF36" s="1">
        <v>-9250</v>
      </c>
      <c r="AG36" s="1">
        <v>-9544</v>
      </c>
      <c r="AH36" s="1">
        <v>-9124</v>
      </c>
      <c r="AI36" s="1">
        <v>-9804</v>
      </c>
      <c r="AJ36" s="1">
        <v>-10550</v>
      </c>
      <c r="AK36" s="1">
        <v>-9652</v>
      </c>
      <c r="AL36" s="1">
        <v>-9230</v>
      </c>
      <c r="AM36" s="1">
        <v>-10216</v>
      </c>
      <c r="AN36" s="1">
        <v>-9645</v>
      </c>
      <c r="AO36" s="1">
        <v>-10121</v>
      </c>
      <c r="AP36" s="1">
        <v>-10266</v>
      </c>
      <c r="AQ36" s="1">
        <v>-10607</v>
      </c>
      <c r="AR36" s="1">
        <v>-8597</v>
      </c>
      <c r="AS36" s="1">
        <v>-10013</v>
      </c>
      <c r="AT36" s="1">
        <v>-12680</v>
      </c>
      <c r="AU36" s="1">
        <v>-14475</v>
      </c>
      <c r="AV36" s="1">
        <v>-1484</v>
      </c>
      <c r="AW36" s="1">
        <v>-7894</v>
      </c>
      <c r="AX36" s="1">
        <v>-14161</v>
      </c>
      <c r="AY36" s="1">
        <v>-17105</v>
      </c>
      <c r="AZ36" s="1">
        <v>-2311</v>
      </c>
      <c r="BA36" s="1">
        <v>-2942</v>
      </c>
      <c r="BB36" s="1">
        <v>-4034</v>
      </c>
      <c r="BC36" s="1">
        <v>-5365</v>
      </c>
      <c r="BD36" s="1">
        <v>-4776</v>
      </c>
      <c r="BE36" s="1">
        <v>-4821</v>
      </c>
      <c r="BF36" s="1">
        <v>-5372</v>
      </c>
      <c r="BG36" s="1">
        <v>-4655</v>
      </c>
      <c r="BH36" s="1">
        <v>-5103</v>
      </c>
      <c r="BI36" s="1">
        <v>-3068</v>
      </c>
      <c r="BJ36" s="1">
        <v>-2898</v>
      </c>
      <c r="BK36" s="1">
        <v>-2499</v>
      </c>
      <c r="BL36" s="1">
        <v>-3337</v>
      </c>
      <c r="BM36" s="1">
        <v>-3517</v>
      </c>
      <c r="BN36" s="1">
        <v>-3190</v>
      </c>
      <c r="BO36" s="1">
        <v>-5113</v>
      </c>
      <c r="BP36" s="1">
        <v>-1622</v>
      </c>
      <c r="BQ36" s="1">
        <v>-2654</v>
      </c>
      <c r="BR36" s="1">
        <v>-3782</v>
      </c>
      <c r="BS36" s="1">
        <v>-6262</v>
      </c>
      <c r="BT36" s="1">
        <v>-6182</v>
      </c>
      <c r="BU36" s="1">
        <v>4074</v>
      </c>
      <c r="BV36" s="1">
        <v>-1794</v>
      </c>
      <c r="BW36" s="1">
        <v>-9685</v>
      </c>
      <c r="BX36" s="1">
        <v>-11380</v>
      </c>
      <c r="BY36" s="1">
        <v>4974</v>
      </c>
      <c r="BZ36" s="1">
        <v>3823</v>
      </c>
      <c r="CA36" s="1">
        <v>3586</v>
      </c>
      <c r="CB36" s="1">
        <v>4464</v>
      </c>
      <c r="CC36" s="1">
        <v>1468</v>
      </c>
      <c r="CD36" s="1">
        <v>4319</v>
      </c>
      <c r="CE36" s="1">
        <v>3917</v>
      </c>
      <c r="CF36" s="1">
        <v>3931</v>
      </c>
      <c r="CG36" s="1">
        <v>3557</v>
      </c>
      <c r="CH36" s="1">
        <v>4836</v>
      </c>
      <c r="CI36" s="1">
        <v>6011</v>
      </c>
      <c r="CJ36" s="1">
        <v>7231</v>
      </c>
      <c r="CK36" s="1">
        <v>7584</v>
      </c>
      <c r="CL36" s="1">
        <v>9190</v>
      </c>
      <c r="CM36" s="1">
        <v>9395</v>
      </c>
      <c r="CN36" s="1">
        <v>9539</v>
      </c>
      <c r="CO36" s="1">
        <v>8509</v>
      </c>
      <c r="CP36" s="1">
        <v>6635</v>
      </c>
      <c r="CQ36" s="1">
        <v>7404</v>
      </c>
      <c r="CR36" s="1">
        <v>7642</v>
      </c>
      <c r="CS36" s="1">
        <v>10081</v>
      </c>
      <c r="CT36" s="1">
        <v>22430</v>
      </c>
      <c r="CU36" s="1">
        <v>21129</v>
      </c>
      <c r="CV36" s="1">
        <v>16470</v>
      </c>
      <c r="CW36" s="1">
        <v>17517</v>
      </c>
      <c r="CX36" s="1">
        <v>23166</v>
      </c>
      <c r="CY36" s="1">
        <v>27240</v>
      </c>
      <c r="CZ36" s="1">
        <v>27028</v>
      </c>
      <c r="DA36" s="1">
        <v>27253</v>
      </c>
      <c r="DB36" s="1">
        <v>28168</v>
      </c>
      <c r="DC36" s="1">
        <v>29832</v>
      </c>
      <c r="DD36" s="1">
        <v>31248</v>
      </c>
      <c r="DE36" s="1">
        <v>35710</v>
      </c>
      <c r="DF36" s="1">
        <v>36335</v>
      </c>
      <c r="DG36" s="1">
        <v>39173</v>
      </c>
      <c r="DH36" s="1">
        <v>40070</v>
      </c>
      <c r="DI36" s="1">
        <v>38577</v>
      </c>
      <c r="DJ36" s="1">
        <v>40440</v>
      </c>
      <c r="DK36" s="1">
        <v>41540</v>
      </c>
      <c r="DL36" s="1">
        <v>44493</v>
      </c>
      <c r="DM36" s="1">
        <v>44136</v>
      </c>
      <c r="DN36" s="1">
        <v>46000</v>
      </c>
      <c r="DO36" s="1">
        <v>37222</v>
      </c>
      <c r="DP36" s="1">
        <v>40450</v>
      </c>
      <c r="DQ36" s="1">
        <v>40759</v>
      </c>
      <c r="DR36" s="1">
        <v>49344</v>
      </c>
      <c r="DS36" s="1">
        <v>56458</v>
      </c>
      <c r="DT36" s="1">
        <v>60588</v>
      </c>
      <c r="DU36" s="1">
        <v>61445</v>
      </c>
      <c r="DV36" s="1">
        <v>68660</v>
      </c>
    </row>
    <row r="41" spans="1:126" x14ac:dyDescent="0.25">
      <c r="A41" t="s">
        <v>41</v>
      </c>
    </row>
    <row r="42" spans="1:126" x14ac:dyDescent="0.25">
      <c r="A42">
        <v>1</v>
      </c>
      <c r="B42" t="s">
        <v>42</v>
      </c>
      <c r="C42" t="s">
        <v>43</v>
      </c>
      <c r="D42" t="s">
        <v>44</v>
      </c>
    </row>
    <row r="46" spans="1:126" x14ac:dyDescent="0.25">
      <c r="A46" t="s">
        <v>45</v>
      </c>
    </row>
    <row r="47" spans="1:126" x14ac:dyDescent="0.25">
      <c r="A47" t="s">
        <v>46</v>
      </c>
    </row>
  </sheetData>
  <hyperlinks>
    <hyperlink ref="A6" r:id="rId1" display="https://www150.statcan.gc.ca/t1/tbl1/en/cv!recreate.action?pid=3610058701&amp;selectedNodeIds=2D3,3D2,3D3,3D4,3D5,3D6,4D1,4D2,4D3,4D4,4D5,4D6,4D7,4D8,4D9,4D10,4D11,4D12,4D13,4D14,4D15,4D16,4D17,4D18,4D19,4D20,4D21,4D22,4D23&amp;checkedLevels=0D1&amp;refPeriods=19990101,20230101&amp;dimensionLayouts=layout2,layout2,layout2,layout3,layout2&amp;vectorDisplay=false" xr:uid="{00000000-0004-0000-07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53"/>
  <sheetViews>
    <sheetView workbookViewId="0">
      <selection activeCell="A11" sqref="A11:XFD12"/>
    </sheetView>
  </sheetViews>
  <sheetFormatPr defaultRowHeight="15" x14ac:dyDescent="0.25"/>
  <cols>
    <col min="1" max="1" width="28.5703125" customWidth="1"/>
  </cols>
  <sheetData>
    <row r="1" spans="1:32" x14ac:dyDescent="0.25">
      <c r="A1" t="s">
        <v>0</v>
      </c>
    </row>
    <row r="2" spans="1:32" x14ac:dyDescent="0.25">
      <c r="A2" t="s">
        <v>1</v>
      </c>
    </row>
    <row r="3" spans="1:32" x14ac:dyDescent="0.25">
      <c r="A3" t="s">
        <v>2</v>
      </c>
    </row>
    <row r="4" spans="1:32" x14ac:dyDescent="0.25">
      <c r="A4" t="s">
        <v>3</v>
      </c>
    </row>
    <row r="5" spans="1:32" x14ac:dyDescent="0.25">
      <c r="A5" t="s">
        <v>4</v>
      </c>
    </row>
    <row r="6" spans="1:32" x14ac:dyDescent="0.25">
      <c r="A6" t="s">
        <v>95</v>
      </c>
    </row>
    <row r="9" spans="1:32" x14ac:dyDescent="0.25">
      <c r="A9" t="s">
        <v>5</v>
      </c>
      <c r="B9" t="s">
        <v>6</v>
      </c>
    </row>
    <row r="10" spans="1:32" x14ac:dyDescent="0.25">
      <c r="A10" t="s">
        <v>7</v>
      </c>
      <c r="B10" t="s">
        <v>8</v>
      </c>
    </row>
    <row r="11" spans="1:32" x14ac:dyDescent="0.25">
      <c r="A11" s="4" t="s">
        <v>51</v>
      </c>
      <c r="B11" s="4" t="s">
        <v>97</v>
      </c>
      <c r="C11" s="4" t="s">
        <v>97</v>
      </c>
      <c r="D11" s="4" t="s">
        <v>97</v>
      </c>
      <c r="E11" s="4" t="s">
        <v>97</v>
      </c>
      <c r="F11" s="4" t="s">
        <v>97</v>
      </c>
      <c r="G11" s="4" t="s">
        <v>97</v>
      </c>
      <c r="H11" s="4">
        <v>1</v>
      </c>
      <c r="I11" s="4">
        <v>1</v>
      </c>
      <c r="J11" s="4">
        <v>1</v>
      </c>
      <c r="K11" s="4">
        <v>1</v>
      </c>
      <c r="L11" s="4">
        <v>1</v>
      </c>
      <c r="M11" s="4">
        <v>2</v>
      </c>
      <c r="N11" s="4">
        <v>2</v>
      </c>
      <c r="O11" s="4">
        <v>2</v>
      </c>
      <c r="P11" s="4">
        <v>2</v>
      </c>
      <c r="Q11" s="4">
        <v>2</v>
      </c>
      <c r="R11" s="4">
        <v>3</v>
      </c>
      <c r="S11" s="4">
        <v>3</v>
      </c>
      <c r="T11" s="4">
        <v>3</v>
      </c>
      <c r="U11" s="4">
        <v>3</v>
      </c>
      <c r="V11" s="4">
        <v>3</v>
      </c>
      <c r="W11" s="4">
        <v>4</v>
      </c>
      <c r="X11" s="4">
        <v>4</v>
      </c>
      <c r="Y11" s="4">
        <v>4</v>
      </c>
      <c r="Z11" s="4">
        <v>4</v>
      </c>
      <c r="AA11" s="4">
        <v>4</v>
      </c>
      <c r="AB11" s="4">
        <v>5</v>
      </c>
      <c r="AC11" s="4">
        <v>5</v>
      </c>
      <c r="AD11" s="4">
        <v>5</v>
      </c>
      <c r="AE11" s="4">
        <v>5</v>
      </c>
      <c r="AF11" s="4">
        <v>5</v>
      </c>
    </row>
    <row r="12" spans="1:32" x14ac:dyDescent="0.25">
      <c r="A12" s="4" t="s">
        <v>96</v>
      </c>
      <c r="B12" s="4" t="s">
        <v>97</v>
      </c>
      <c r="C12" s="4" t="s">
        <v>98</v>
      </c>
      <c r="D12" s="4" t="s">
        <v>99</v>
      </c>
      <c r="E12" s="4" t="s">
        <v>100</v>
      </c>
      <c r="F12" s="4" t="s">
        <v>101</v>
      </c>
      <c r="G12" s="4" t="s">
        <v>102</v>
      </c>
      <c r="H12" s="4" t="s">
        <v>98</v>
      </c>
      <c r="I12" s="4" t="s">
        <v>99</v>
      </c>
      <c r="J12" s="4" t="s">
        <v>100</v>
      </c>
      <c r="K12" s="4" t="s">
        <v>101</v>
      </c>
      <c r="L12" s="4" t="s">
        <v>102</v>
      </c>
      <c r="M12" s="4" t="s">
        <v>98</v>
      </c>
      <c r="N12" s="4" t="s">
        <v>99</v>
      </c>
      <c r="O12" s="4" t="s">
        <v>100</v>
      </c>
      <c r="P12" s="4" t="s">
        <v>101</v>
      </c>
      <c r="Q12" s="4" t="s">
        <v>102</v>
      </c>
      <c r="R12" s="4" t="s">
        <v>98</v>
      </c>
      <c r="S12" s="4" t="s">
        <v>99</v>
      </c>
      <c r="T12" s="4" t="s">
        <v>100</v>
      </c>
      <c r="U12" s="4" t="s">
        <v>101</v>
      </c>
      <c r="V12" s="4" t="s">
        <v>102</v>
      </c>
      <c r="W12" s="4" t="s">
        <v>98</v>
      </c>
      <c r="X12" s="4" t="s">
        <v>99</v>
      </c>
      <c r="Y12" s="4" t="s">
        <v>100</v>
      </c>
      <c r="Z12" s="4" t="s">
        <v>101</v>
      </c>
      <c r="AA12" s="4" t="s">
        <v>102</v>
      </c>
      <c r="AB12" s="4" t="s">
        <v>98</v>
      </c>
      <c r="AC12" s="4" t="s">
        <v>99</v>
      </c>
      <c r="AD12" s="4" t="s">
        <v>100</v>
      </c>
      <c r="AE12" s="4" t="s">
        <v>101</v>
      </c>
      <c r="AF12" s="4" t="s">
        <v>102</v>
      </c>
    </row>
    <row r="13" spans="1:32" x14ac:dyDescent="0.25">
      <c r="A13" t="s">
        <v>9</v>
      </c>
      <c r="B13" t="s">
        <v>10</v>
      </c>
      <c r="C13" t="s">
        <v>56</v>
      </c>
      <c r="D13" t="s">
        <v>57</v>
      </c>
      <c r="E13" t="s">
        <v>58</v>
      </c>
      <c r="F13" t="s">
        <v>59</v>
      </c>
      <c r="G13" t="s">
        <v>60</v>
      </c>
      <c r="H13" t="s">
        <v>67</v>
      </c>
      <c r="I13" t="s">
        <v>68</v>
      </c>
      <c r="J13" t="s">
        <v>69</v>
      </c>
      <c r="K13" t="s">
        <v>70</v>
      </c>
      <c r="L13" t="s">
        <v>71</v>
      </c>
      <c r="M13" t="s">
        <v>72</v>
      </c>
      <c r="N13" t="s">
        <v>73</v>
      </c>
      <c r="O13" t="s">
        <v>74</v>
      </c>
      <c r="P13" t="s">
        <v>75</v>
      </c>
      <c r="Q13" t="s">
        <v>76</v>
      </c>
      <c r="R13" t="s">
        <v>77</v>
      </c>
      <c r="S13" t="s">
        <v>78</v>
      </c>
      <c r="T13" t="s">
        <v>79</v>
      </c>
      <c r="U13" t="s">
        <v>80</v>
      </c>
      <c r="V13" t="s">
        <v>81</v>
      </c>
      <c r="W13" t="s">
        <v>82</v>
      </c>
      <c r="X13" t="s">
        <v>83</v>
      </c>
      <c r="Y13" t="s">
        <v>84</v>
      </c>
      <c r="Z13" t="s">
        <v>85</v>
      </c>
      <c r="AA13" t="s">
        <v>86</v>
      </c>
      <c r="AB13" t="s">
        <v>87</v>
      </c>
      <c r="AC13" t="s">
        <v>88</v>
      </c>
      <c r="AD13" t="s">
        <v>89</v>
      </c>
      <c r="AE13" t="s">
        <v>90</v>
      </c>
      <c r="AF13" t="s">
        <v>91</v>
      </c>
    </row>
    <row r="14" spans="1:32" x14ac:dyDescent="0.25">
      <c r="A14" t="s">
        <v>16</v>
      </c>
      <c r="B14">
        <v>2023</v>
      </c>
      <c r="C14">
        <v>2023</v>
      </c>
      <c r="D14">
        <v>2023</v>
      </c>
      <c r="E14">
        <v>2023</v>
      </c>
      <c r="F14">
        <v>2023</v>
      </c>
      <c r="G14">
        <v>2023</v>
      </c>
      <c r="H14">
        <v>2023</v>
      </c>
      <c r="I14">
        <v>2023</v>
      </c>
      <c r="J14">
        <v>2023</v>
      </c>
      <c r="K14">
        <v>2023</v>
      </c>
      <c r="L14">
        <v>2023</v>
      </c>
      <c r="M14">
        <v>2023</v>
      </c>
      <c r="N14">
        <v>2023</v>
      </c>
      <c r="O14">
        <v>2023</v>
      </c>
      <c r="P14">
        <v>2023</v>
      </c>
      <c r="Q14">
        <v>2023</v>
      </c>
      <c r="R14">
        <v>2023</v>
      </c>
      <c r="S14">
        <v>2023</v>
      </c>
      <c r="T14">
        <v>2023</v>
      </c>
      <c r="U14">
        <v>2023</v>
      </c>
      <c r="V14">
        <v>2023</v>
      </c>
      <c r="W14">
        <v>2023</v>
      </c>
      <c r="X14">
        <v>2023</v>
      </c>
      <c r="Y14">
        <v>2023</v>
      </c>
      <c r="Z14">
        <v>2023</v>
      </c>
      <c r="AA14">
        <v>2023</v>
      </c>
      <c r="AB14">
        <v>2023</v>
      </c>
      <c r="AC14">
        <v>2023</v>
      </c>
      <c r="AD14">
        <v>2023</v>
      </c>
      <c r="AE14">
        <v>2023</v>
      </c>
      <c r="AF14">
        <v>2023</v>
      </c>
    </row>
    <row r="15" spans="1:32" x14ac:dyDescent="0.25">
      <c r="B15" t="s">
        <v>17</v>
      </c>
    </row>
    <row r="16" spans="1:32" x14ac:dyDescent="0.25">
      <c r="A16" s="7" t="s">
        <v>18</v>
      </c>
      <c r="B16" s="1">
        <v>1597953</v>
      </c>
      <c r="C16" s="1">
        <v>296903</v>
      </c>
      <c r="D16" s="1">
        <v>334126</v>
      </c>
      <c r="E16" s="1">
        <v>340857</v>
      </c>
      <c r="F16" s="1">
        <v>294159</v>
      </c>
      <c r="G16" s="1">
        <v>331908</v>
      </c>
      <c r="H16" s="1">
        <v>20685</v>
      </c>
      <c r="I16" s="1">
        <v>19005</v>
      </c>
      <c r="J16" s="1">
        <v>15867</v>
      </c>
      <c r="K16" s="1">
        <v>12855</v>
      </c>
      <c r="L16" s="1">
        <v>36357</v>
      </c>
      <c r="M16" s="1">
        <v>42393</v>
      </c>
      <c r="N16" s="1">
        <v>42836</v>
      </c>
      <c r="O16" s="1">
        <v>29760</v>
      </c>
      <c r="P16" s="1">
        <v>24148</v>
      </c>
      <c r="Q16" s="1">
        <v>57932</v>
      </c>
      <c r="R16" s="1">
        <v>54906</v>
      </c>
      <c r="S16" s="1">
        <v>60626</v>
      </c>
      <c r="T16" s="1">
        <v>50882</v>
      </c>
      <c r="U16" s="1">
        <v>37300</v>
      </c>
      <c r="V16" s="1">
        <v>58168</v>
      </c>
      <c r="W16" s="1">
        <v>79512</v>
      </c>
      <c r="X16" s="1">
        <v>90079</v>
      </c>
      <c r="Y16" s="1">
        <v>82883</v>
      </c>
      <c r="Z16" s="1">
        <v>65618</v>
      </c>
      <c r="AA16" s="1">
        <v>60866</v>
      </c>
      <c r="AB16" s="1">
        <v>99408</v>
      </c>
      <c r="AC16" s="1">
        <v>121581</v>
      </c>
      <c r="AD16" s="1">
        <v>161465</v>
      </c>
      <c r="AE16" s="1">
        <v>154238</v>
      </c>
      <c r="AF16" s="1">
        <v>118586</v>
      </c>
    </row>
    <row r="17" spans="1:32" x14ac:dyDescent="0.25">
      <c r="A17" t="s">
        <v>19</v>
      </c>
      <c r="B17" s="1">
        <v>1470746</v>
      </c>
      <c r="C17" s="1">
        <v>337380</v>
      </c>
      <c r="D17" s="1">
        <v>380757</v>
      </c>
      <c r="E17" s="1">
        <v>392788</v>
      </c>
      <c r="F17" s="1">
        <v>297999</v>
      </c>
      <c r="G17" s="1">
        <v>61822</v>
      </c>
      <c r="H17" t="s">
        <v>92</v>
      </c>
      <c r="I17" t="s">
        <v>92</v>
      </c>
      <c r="J17" t="s">
        <v>92</v>
      </c>
      <c r="K17" t="s">
        <v>92</v>
      </c>
      <c r="L17" t="s">
        <v>92</v>
      </c>
      <c r="M17" t="s">
        <v>92</v>
      </c>
      <c r="N17" t="s">
        <v>92</v>
      </c>
      <c r="O17" t="s">
        <v>92</v>
      </c>
      <c r="P17" t="s">
        <v>92</v>
      </c>
      <c r="Q17" t="s">
        <v>92</v>
      </c>
      <c r="R17" t="s">
        <v>92</v>
      </c>
      <c r="S17" t="s">
        <v>92</v>
      </c>
      <c r="T17" t="s">
        <v>92</v>
      </c>
      <c r="U17" t="s">
        <v>92</v>
      </c>
      <c r="V17" t="s">
        <v>92</v>
      </c>
      <c r="W17" t="s">
        <v>92</v>
      </c>
      <c r="X17" t="s">
        <v>92</v>
      </c>
      <c r="Y17" t="s">
        <v>92</v>
      </c>
      <c r="Z17" t="s">
        <v>92</v>
      </c>
      <c r="AA17" t="s">
        <v>92</v>
      </c>
      <c r="AB17" t="s">
        <v>92</v>
      </c>
      <c r="AC17" t="s">
        <v>92</v>
      </c>
      <c r="AD17" t="s">
        <v>92</v>
      </c>
      <c r="AE17" t="s">
        <v>92</v>
      </c>
      <c r="AF17" t="s">
        <v>92</v>
      </c>
    </row>
    <row r="18" spans="1:32" x14ac:dyDescent="0.25">
      <c r="A18" t="s">
        <v>20</v>
      </c>
      <c r="B18" s="1">
        <v>257594</v>
      </c>
      <c r="C18" s="1">
        <v>40299</v>
      </c>
      <c r="D18" s="1">
        <v>52873</v>
      </c>
      <c r="E18" s="1">
        <v>53325</v>
      </c>
      <c r="F18" s="1">
        <v>53018</v>
      </c>
      <c r="G18" s="1">
        <v>58080</v>
      </c>
      <c r="H18" t="s">
        <v>92</v>
      </c>
      <c r="I18" t="s">
        <v>92</v>
      </c>
      <c r="J18" t="s">
        <v>92</v>
      </c>
      <c r="K18" t="s">
        <v>92</v>
      </c>
      <c r="L18" t="s">
        <v>92</v>
      </c>
      <c r="M18" t="s">
        <v>92</v>
      </c>
      <c r="N18" t="s">
        <v>92</v>
      </c>
      <c r="O18" t="s">
        <v>92</v>
      </c>
      <c r="P18" t="s">
        <v>92</v>
      </c>
      <c r="Q18" t="s">
        <v>92</v>
      </c>
      <c r="R18" t="s">
        <v>92</v>
      </c>
      <c r="S18" t="s">
        <v>92</v>
      </c>
      <c r="T18" t="s">
        <v>92</v>
      </c>
      <c r="U18" t="s">
        <v>92</v>
      </c>
      <c r="V18" t="s">
        <v>92</v>
      </c>
      <c r="W18" t="s">
        <v>92</v>
      </c>
      <c r="X18" t="s">
        <v>92</v>
      </c>
      <c r="Y18" t="s">
        <v>92</v>
      </c>
      <c r="Z18" t="s">
        <v>92</v>
      </c>
      <c r="AA18" t="s">
        <v>92</v>
      </c>
      <c r="AB18" t="s">
        <v>92</v>
      </c>
      <c r="AC18" t="s">
        <v>92</v>
      </c>
      <c r="AD18" t="s">
        <v>92</v>
      </c>
      <c r="AE18" t="s">
        <v>92</v>
      </c>
      <c r="AF18" t="s">
        <v>92</v>
      </c>
    </row>
    <row r="19" spans="1:32" x14ac:dyDescent="0.25">
      <c r="A19" t="s">
        <v>21</v>
      </c>
      <c r="B19" s="1">
        <v>294027</v>
      </c>
      <c r="C19" s="1">
        <v>22860</v>
      </c>
      <c r="D19" s="1">
        <v>39072</v>
      </c>
      <c r="E19" s="1">
        <v>50796</v>
      </c>
      <c r="F19" s="1">
        <v>61421</v>
      </c>
      <c r="G19" s="1">
        <v>119877</v>
      </c>
      <c r="H19" t="s">
        <v>92</v>
      </c>
      <c r="I19" t="s">
        <v>92</v>
      </c>
      <c r="J19" t="s">
        <v>92</v>
      </c>
      <c r="K19" t="s">
        <v>92</v>
      </c>
      <c r="L19" t="s">
        <v>92</v>
      </c>
      <c r="M19" t="s">
        <v>92</v>
      </c>
      <c r="N19" t="s">
        <v>92</v>
      </c>
      <c r="O19" t="s">
        <v>92</v>
      </c>
      <c r="P19" t="s">
        <v>92</v>
      </c>
      <c r="Q19" t="s">
        <v>92</v>
      </c>
      <c r="R19" t="s">
        <v>92</v>
      </c>
      <c r="S19" t="s">
        <v>92</v>
      </c>
      <c r="T19" t="s">
        <v>92</v>
      </c>
      <c r="U19" t="s">
        <v>92</v>
      </c>
      <c r="V19" t="s">
        <v>92</v>
      </c>
      <c r="W19" t="s">
        <v>92</v>
      </c>
      <c r="X19" t="s">
        <v>92</v>
      </c>
      <c r="Y19" t="s">
        <v>92</v>
      </c>
      <c r="Z19" t="s">
        <v>92</v>
      </c>
      <c r="AA19" t="s">
        <v>92</v>
      </c>
      <c r="AB19" t="s">
        <v>92</v>
      </c>
      <c r="AC19" t="s">
        <v>92</v>
      </c>
      <c r="AD19" t="s">
        <v>92</v>
      </c>
      <c r="AE19" t="s">
        <v>92</v>
      </c>
      <c r="AF19" t="s">
        <v>92</v>
      </c>
    </row>
    <row r="20" spans="1:32" x14ac:dyDescent="0.25">
      <c r="A20" t="s">
        <v>22</v>
      </c>
      <c r="B20" s="1">
        <v>132778</v>
      </c>
      <c r="C20" s="1">
        <v>27654</v>
      </c>
      <c r="D20" s="1">
        <v>36079</v>
      </c>
      <c r="E20" s="1">
        <v>29872</v>
      </c>
      <c r="F20" s="1">
        <v>21531</v>
      </c>
      <c r="G20" s="1">
        <v>17643</v>
      </c>
      <c r="H20" t="s">
        <v>92</v>
      </c>
      <c r="I20" t="s">
        <v>92</v>
      </c>
      <c r="J20" t="s">
        <v>92</v>
      </c>
      <c r="K20" t="s">
        <v>92</v>
      </c>
      <c r="L20" t="s">
        <v>92</v>
      </c>
      <c r="M20" t="s">
        <v>92</v>
      </c>
      <c r="N20" t="s">
        <v>92</v>
      </c>
      <c r="O20" t="s">
        <v>92</v>
      </c>
      <c r="P20" t="s">
        <v>92</v>
      </c>
      <c r="Q20" t="s">
        <v>92</v>
      </c>
      <c r="R20" t="s">
        <v>92</v>
      </c>
      <c r="S20" t="s">
        <v>92</v>
      </c>
      <c r="T20" t="s">
        <v>92</v>
      </c>
      <c r="U20" t="s">
        <v>92</v>
      </c>
      <c r="V20" t="s">
        <v>92</v>
      </c>
      <c r="W20" t="s">
        <v>92</v>
      </c>
      <c r="X20" t="s">
        <v>92</v>
      </c>
      <c r="Y20" t="s">
        <v>92</v>
      </c>
      <c r="Z20" t="s">
        <v>92</v>
      </c>
      <c r="AA20" t="s">
        <v>92</v>
      </c>
      <c r="AB20" t="s">
        <v>92</v>
      </c>
      <c r="AC20" t="s">
        <v>92</v>
      </c>
      <c r="AD20" t="s">
        <v>92</v>
      </c>
      <c r="AE20" t="s">
        <v>92</v>
      </c>
      <c r="AF20" t="s">
        <v>92</v>
      </c>
    </row>
    <row r="21" spans="1:32" x14ac:dyDescent="0.25">
      <c r="A21" t="s">
        <v>23</v>
      </c>
      <c r="B21" s="1">
        <v>441837</v>
      </c>
      <c r="C21" s="1">
        <v>46420</v>
      </c>
      <c r="D21" s="1">
        <v>56162</v>
      </c>
      <c r="E21" s="1">
        <v>41146</v>
      </c>
      <c r="F21" s="1">
        <v>63914</v>
      </c>
      <c r="G21" s="1">
        <v>234195</v>
      </c>
      <c r="H21" t="s">
        <v>92</v>
      </c>
      <c r="I21" t="s">
        <v>92</v>
      </c>
      <c r="J21" t="s">
        <v>92</v>
      </c>
      <c r="K21" t="s">
        <v>92</v>
      </c>
      <c r="L21" t="s">
        <v>92</v>
      </c>
      <c r="M21" t="s">
        <v>92</v>
      </c>
      <c r="N21" t="s">
        <v>92</v>
      </c>
      <c r="O21" t="s">
        <v>92</v>
      </c>
      <c r="P21" t="s">
        <v>92</v>
      </c>
      <c r="Q21" t="s">
        <v>92</v>
      </c>
      <c r="R21" t="s">
        <v>92</v>
      </c>
      <c r="S21" t="s">
        <v>92</v>
      </c>
      <c r="T21" t="s">
        <v>92</v>
      </c>
      <c r="U21" t="s">
        <v>92</v>
      </c>
      <c r="V21" t="s">
        <v>92</v>
      </c>
      <c r="W21" t="s">
        <v>92</v>
      </c>
      <c r="X21" t="s">
        <v>92</v>
      </c>
      <c r="Y21" t="s">
        <v>92</v>
      </c>
      <c r="Z21" t="s">
        <v>92</v>
      </c>
      <c r="AA21" t="s">
        <v>92</v>
      </c>
      <c r="AB21" t="s">
        <v>92</v>
      </c>
      <c r="AC21" t="s">
        <v>92</v>
      </c>
      <c r="AD21" t="s">
        <v>92</v>
      </c>
      <c r="AE21" t="s">
        <v>92</v>
      </c>
      <c r="AF21" t="s">
        <v>92</v>
      </c>
    </row>
    <row r="22" spans="1:32" x14ac:dyDescent="0.25">
      <c r="A22" t="s">
        <v>24</v>
      </c>
      <c r="B22" s="1">
        <v>733473</v>
      </c>
      <c r="C22" s="1">
        <v>122402</v>
      </c>
      <c r="D22" s="1">
        <v>158658</v>
      </c>
      <c r="E22" s="1">
        <v>167326</v>
      </c>
      <c r="F22" s="1">
        <v>160662</v>
      </c>
      <c r="G22" s="1">
        <v>124424</v>
      </c>
      <c r="H22" t="s">
        <v>92</v>
      </c>
      <c r="I22" t="s">
        <v>92</v>
      </c>
      <c r="J22" t="s">
        <v>92</v>
      </c>
      <c r="K22" t="s">
        <v>92</v>
      </c>
      <c r="L22" t="s">
        <v>92</v>
      </c>
      <c r="M22" t="s">
        <v>92</v>
      </c>
      <c r="N22" t="s">
        <v>92</v>
      </c>
      <c r="O22" t="s">
        <v>92</v>
      </c>
      <c r="P22" t="s">
        <v>92</v>
      </c>
      <c r="Q22" t="s">
        <v>92</v>
      </c>
      <c r="R22" t="s">
        <v>92</v>
      </c>
      <c r="S22" t="s">
        <v>92</v>
      </c>
      <c r="T22" t="s">
        <v>92</v>
      </c>
      <c r="U22" t="s">
        <v>92</v>
      </c>
      <c r="V22" t="s">
        <v>92</v>
      </c>
      <c r="W22" t="s">
        <v>92</v>
      </c>
      <c r="X22" t="s">
        <v>92</v>
      </c>
      <c r="Y22" t="s">
        <v>92</v>
      </c>
      <c r="Z22" t="s">
        <v>92</v>
      </c>
      <c r="AA22" t="s">
        <v>92</v>
      </c>
      <c r="AB22" t="s">
        <v>92</v>
      </c>
      <c r="AC22" t="s">
        <v>92</v>
      </c>
      <c r="AD22" t="s">
        <v>92</v>
      </c>
      <c r="AE22" t="s">
        <v>92</v>
      </c>
      <c r="AF22" t="s">
        <v>92</v>
      </c>
    </row>
    <row r="23" spans="1:32" x14ac:dyDescent="0.25">
      <c r="A23" s="7" t="s">
        <v>25</v>
      </c>
      <c r="B23" s="1">
        <v>1553214</v>
      </c>
      <c r="C23" s="1">
        <v>269860</v>
      </c>
      <c r="D23" s="1">
        <v>306717</v>
      </c>
      <c r="E23" s="1">
        <v>333373</v>
      </c>
      <c r="F23" s="1">
        <v>311362</v>
      </c>
      <c r="G23" s="1">
        <v>331898</v>
      </c>
      <c r="H23" s="1">
        <v>40387</v>
      </c>
      <c r="I23" s="1">
        <v>30643</v>
      </c>
      <c r="J23" s="1">
        <v>30670</v>
      </c>
      <c r="K23" s="1">
        <v>37211</v>
      </c>
      <c r="L23" s="1">
        <v>66516</v>
      </c>
      <c r="M23" s="1">
        <v>45881</v>
      </c>
      <c r="N23" s="1">
        <v>52449</v>
      </c>
      <c r="O23" s="1">
        <v>41246</v>
      </c>
      <c r="P23" s="1">
        <v>36872</v>
      </c>
      <c r="Q23" s="1">
        <v>72569</v>
      </c>
      <c r="R23" s="1">
        <v>54357</v>
      </c>
      <c r="S23" s="1">
        <v>64719</v>
      </c>
      <c r="T23" s="1">
        <v>65430</v>
      </c>
      <c r="U23" s="1">
        <v>49826</v>
      </c>
      <c r="V23" s="1">
        <v>68218</v>
      </c>
      <c r="W23" s="1">
        <v>58981</v>
      </c>
      <c r="X23" s="1">
        <v>73640</v>
      </c>
      <c r="Y23" s="1">
        <v>82718</v>
      </c>
      <c r="Z23" s="1">
        <v>70465</v>
      </c>
      <c r="AA23" s="1">
        <v>56201</v>
      </c>
      <c r="AB23" s="1">
        <v>70254</v>
      </c>
      <c r="AC23" s="1">
        <v>85266</v>
      </c>
      <c r="AD23" s="1">
        <v>113309</v>
      </c>
      <c r="AE23" s="1">
        <v>116988</v>
      </c>
      <c r="AF23" s="1">
        <v>68395</v>
      </c>
    </row>
    <row r="24" spans="1:32" x14ac:dyDescent="0.25">
      <c r="A24" t="s">
        <v>26</v>
      </c>
      <c r="B24" s="1">
        <v>147899</v>
      </c>
      <c r="C24" s="1">
        <v>24626</v>
      </c>
      <c r="D24" s="1">
        <v>30062</v>
      </c>
      <c r="E24" s="1">
        <v>31916</v>
      </c>
      <c r="F24" s="1">
        <v>28355</v>
      </c>
      <c r="G24" s="1">
        <v>32941</v>
      </c>
      <c r="H24" t="s">
        <v>92</v>
      </c>
      <c r="I24" t="s">
        <v>92</v>
      </c>
      <c r="J24" t="s">
        <v>92</v>
      </c>
      <c r="K24" t="s">
        <v>92</v>
      </c>
      <c r="L24" t="s">
        <v>92</v>
      </c>
      <c r="M24" t="s">
        <v>92</v>
      </c>
      <c r="N24" t="s">
        <v>92</v>
      </c>
      <c r="O24" t="s">
        <v>92</v>
      </c>
      <c r="P24" t="s">
        <v>92</v>
      </c>
      <c r="Q24" t="s">
        <v>92</v>
      </c>
      <c r="R24" t="s">
        <v>92</v>
      </c>
      <c r="S24" t="s">
        <v>92</v>
      </c>
      <c r="T24" t="s">
        <v>92</v>
      </c>
      <c r="U24" t="s">
        <v>92</v>
      </c>
      <c r="V24" t="s">
        <v>92</v>
      </c>
      <c r="W24" t="s">
        <v>92</v>
      </c>
      <c r="X24" t="s">
        <v>92</v>
      </c>
      <c r="Y24" t="s">
        <v>92</v>
      </c>
      <c r="Z24" t="s">
        <v>92</v>
      </c>
      <c r="AA24" t="s">
        <v>92</v>
      </c>
      <c r="AB24" t="s">
        <v>92</v>
      </c>
      <c r="AC24" t="s">
        <v>92</v>
      </c>
      <c r="AD24" t="s">
        <v>92</v>
      </c>
      <c r="AE24" t="s">
        <v>92</v>
      </c>
      <c r="AF24" t="s">
        <v>92</v>
      </c>
    </row>
    <row r="25" spans="1:32" x14ac:dyDescent="0.25">
      <c r="A25" t="s">
        <v>27</v>
      </c>
      <c r="B25" s="1">
        <v>50575</v>
      </c>
      <c r="C25" s="1">
        <v>9139</v>
      </c>
      <c r="D25" s="1">
        <v>9577</v>
      </c>
      <c r="E25" s="1">
        <v>11013</v>
      </c>
      <c r="F25" s="1">
        <v>11080</v>
      </c>
      <c r="G25" s="1">
        <v>9769</v>
      </c>
      <c r="H25" t="s">
        <v>92</v>
      </c>
      <c r="I25" t="s">
        <v>92</v>
      </c>
      <c r="J25" t="s">
        <v>92</v>
      </c>
      <c r="K25" t="s">
        <v>92</v>
      </c>
      <c r="L25" t="s">
        <v>92</v>
      </c>
      <c r="M25" t="s">
        <v>92</v>
      </c>
      <c r="N25" t="s">
        <v>92</v>
      </c>
      <c r="O25" t="s">
        <v>92</v>
      </c>
      <c r="P25" t="s">
        <v>92</v>
      </c>
      <c r="Q25" t="s">
        <v>92</v>
      </c>
      <c r="R25" t="s">
        <v>92</v>
      </c>
      <c r="S25" t="s">
        <v>92</v>
      </c>
      <c r="T25" t="s">
        <v>92</v>
      </c>
      <c r="U25" t="s">
        <v>92</v>
      </c>
      <c r="V25" t="s">
        <v>92</v>
      </c>
      <c r="W25" t="s">
        <v>92</v>
      </c>
      <c r="X25" t="s">
        <v>92</v>
      </c>
      <c r="Y25" t="s">
        <v>92</v>
      </c>
      <c r="Z25" t="s">
        <v>92</v>
      </c>
      <c r="AA25" t="s">
        <v>92</v>
      </c>
      <c r="AB25" t="s">
        <v>92</v>
      </c>
      <c r="AC25" t="s">
        <v>92</v>
      </c>
      <c r="AD25" t="s">
        <v>92</v>
      </c>
      <c r="AE25" t="s">
        <v>92</v>
      </c>
      <c r="AF25" t="s">
        <v>92</v>
      </c>
    </row>
    <row r="26" spans="1:32" x14ac:dyDescent="0.25">
      <c r="A26" t="s">
        <v>28</v>
      </c>
      <c r="B26" s="1">
        <v>73807</v>
      </c>
      <c r="C26" s="1">
        <v>15491</v>
      </c>
      <c r="D26" s="1">
        <v>17444</v>
      </c>
      <c r="E26" s="1">
        <v>16741</v>
      </c>
      <c r="F26" s="1">
        <v>13593</v>
      </c>
      <c r="G26" s="1">
        <v>10536</v>
      </c>
      <c r="H26" t="s">
        <v>92</v>
      </c>
      <c r="I26" t="s">
        <v>92</v>
      </c>
      <c r="J26" t="s">
        <v>92</v>
      </c>
      <c r="K26" t="s">
        <v>92</v>
      </c>
      <c r="L26" t="s">
        <v>92</v>
      </c>
      <c r="M26" t="s">
        <v>92</v>
      </c>
      <c r="N26" t="s">
        <v>92</v>
      </c>
      <c r="O26" t="s">
        <v>92</v>
      </c>
      <c r="P26" t="s">
        <v>92</v>
      </c>
      <c r="Q26" t="s">
        <v>92</v>
      </c>
      <c r="R26" t="s">
        <v>92</v>
      </c>
      <c r="S26" t="s">
        <v>92</v>
      </c>
      <c r="T26" t="s">
        <v>92</v>
      </c>
      <c r="U26" t="s">
        <v>92</v>
      </c>
      <c r="V26" t="s">
        <v>92</v>
      </c>
      <c r="W26" t="s">
        <v>92</v>
      </c>
      <c r="X26" t="s">
        <v>92</v>
      </c>
      <c r="Y26" t="s">
        <v>92</v>
      </c>
      <c r="Z26" t="s">
        <v>92</v>
      </c>
      <c r="AA26" t="s">
        <v>92</v>
      </c>
      <c r="AB26" t="s">
        <v>92</v>
      </c>
      <c r="AC26" t="s">
        <v>92</v>
      </c>
      <c r="AD26" t="s">
        <v>92</v>
      </c>
      <c r="AE26" t="s">
        <v>92</v>
      </c>
      <c r="AF26" t="s">
        <v>92</v>
      </c>
    </row>
    <row r="27" spans="1:32" x14ac:dyDescent="0.25">
      <c r="A27" t="s">
        <v>29</v>
      </c>
      <c r="B27" s="1">
        <v>366271</v>
      </c>
      <c r="C27" s="1">
        <v>65927</v>
      </c>
      <c r="D27" s="1">
        <v>67292</v>
      </c>
      <c r="E27" s="1">
        <v>73641</v>
      </c>
      <c r="F27" s="1">
        <v>73776</v>
      </c>
      <c r="G27" s="1">
        <v>85633</v>
      </c>
      <c r="H27" t="s">
        <v>92</v>
      </c>
      <c r="I27" t="s">
        <v>92</v>
      </c>
      <c r="J27" t="s">
        <v>92</v>
      </c>
      <c r="K27" t="s">
        <v>92</v>
      </c>
      <c r="L27" t="s">
        <v>92</v>
      </c>
      <c r="M27" t="s">
        <v>92</v>
      </c>
      <c r="N27" t="s">
        <v>92</v>
      </c>
      <c r="O27" t="s">
        <v>92</v>
      </c>
      <c r="P27" t="s">
        <v>92</v>
      </c>
      <c r="Q27" t="s">
        <v>92</v>
      </c>
      <c r="R27" t="s">
        <v>92</v>
      </c>
      <c r="S27" t="s">
        <v>92</v>
      </c>
      <c r="T27" t="s">
        <v>92</v>
      </c>
      <c r="U27" t="s">
        <v>92</v>
      </c>
      <c r="V27" t="s">
        <v>92</v>
      </c>
      <c r="W27" t="s">
        <v>92</v>
      </c>
      <c r="X27" t="s">
        <v>92</v>
      </c>
      <c r="Y27" t="s">
        <v>92</v>
      </c>
      <c r="Z27" t="s">
        <v>92</v>
      </c>
      <c r="AA27" t="s">
        <v>92</v>
      </c>
      <c r="AB27" t="s">
        <v>92</v>
      </c>
      <c r="AC27" t="s">
        <v>92</v>
      </c>
      <c r="AD27" t="s">
        <v>92</v>
      </c>
      <c r="AE27" t="s">
        <v>92</v>
      </c>
      <c r="AF27" t="s">
        <v>92</v>
      </c>
    </row>
    <row r="28" spans="1:32" x14ac:dyDescent="0.25">
      <c r="A28" t="s">
        <v>30</v>
      </c>
      <c r="B28" s="1">
        <v>93062</v>
      </c>
      <c r="C28" s="1">
        <v>15843</v>
      </c>
      <c r="D28" s="1">
        <v>19831</v>
      </c>
      <c r="E28" s="1">
        <v>19335</v>
      </c>
      <c r="F28" s="1">
        <v>19520</v>
      </c>
      <c r="G28" s="1">
        <v>18534</v>
      </c>
      <c r="H28" t="s">
        <v>92</v>
      </c>
      <c r="I28" t="s">
        <v>92</v>
      </c>
      <c r="J28" t="s">
        <v>92</v>
      </c>
      <c r="K28" t="s">
        <v>92</v>
      </c>
      <c r="L28" t="s">
        <v>92</v>
      </c>
      <c r="M28" t="s">
        <v>92</v>
      </c>
      <c r="N28" t="s">
        <v>92</v>
      </c>
      <c r="O28" t="s">
        <v>92</v>
      </c>
      <c r="P28" t="s">
        <v>92</v>
      </c>
      <c r="Q28" t="s">
        <v>92</v>
      </c>
      <c r="R28" t="s">
        <v>92</v>
      </c>
      <c r="S28" t="s">
        <v>92</v>
      </c>
      <c r="T28" t="s">
        <v>92</v>
      </c>
      <c r="U28" t="s">
        <v>92</v>
      </c>
      <c r="V28" t="s">
        <v>92</v>
      </c>
      <c r="W28" t="s">
        <v>92</v>
      </c>
      <c r="X28" t="s">
        <v>92</v>
      </c>
      <c r="Y28" t="s">
        <v>92</v>
      </c>
      <c r="Z28" t="s">
        <v>92</v>
      </c>
      <c r="AA28" t="s">
        <v>92</v>
      </c>
      <c r="AB28" t="s">
        <v>92</v>
      </c>
      <c r="AC28" t="s">
        <v>92</v>
      </c>
      <c r="AD28" t="s">
        <v>92</v>
      </c>
      <c r="AE28" t="s">
        <v>92</v>
      </c>
      <c r="AF28" t="s">
        <v>92</v>
      </c>
    </row>
    <row r="29" spans="1:32" x14ac:dyDescent="0.25">
      <c r="A29" t="s">
        <v>31</v>
      </c>
      <c r="B29" s="1">
        <v>66112</v>
      </c>
      <c r="C29" s="1">
        <v>6826</v>
      </c>
      <c r="D29" s="1">
        <v>8660</v>
      </c>
      <c r="E29" s="1">
        <v>11763</v>
      </c>
      <c r="F29" s="1">
        <v>16007</v>
      </c>
      <c r="G29" s="1">
        <v>22854</v>
      </c>
      <c r="H29" t="s">
        <v>92</v>
      </c>
      <c r="I29" t="s">
        <v>92</v>
      </c>
      <c r="J29" t="s">
        <v>92</v>
      </c>
      <c r="K29" t="s">
        <v>92</v>
      </c>
      <c r="L29" t="s">
        <v>92</v>
      </c>
      <c r="M29" t="s">
        <v>92</v>
      </c>
      <c r="N29" t="s">
        <v>92</v>
      </c>
      <c r="O29" t="s">
        <v>92</v>
      </c>
      <c r="P29" t="s">
        <v>92</v>
      </c>
      <c r="Q29" t="s">
        <v>92</v>
      </c>
      <c r="R29" t="s">
        <v>92</v>
      </c>
      <c r="S29" t="s">
        <v>92</v>
      </c>
      <c r="T29" t="s">
        <v>92</v>
      </c>
      <c r="U29" t="s">
        <v>92</v>
      </c>
      <c r="V29" t="s">
        <v>92</v>
      </c>
      <c r="W29" t="s">
        <v>92</v>
      </c>
      <c r="X29" t="s">
        <v>92</v>
      </c>
      <c r="Y29" t="s">
        <v>92</v>
      </c>
      <c r="Z29" t="s">
        <v>92</v>
      </c>
      <c r="AA29" t="s">
        <v>92</v>
      </c>
      <c r="AB29" t="s">
        <v>92</v>
      </c>
      <c r="AC29" t="s">
        <v>92</v>
      </c>
      <c r="AD29" t="s">
        <v>92</v>
      </c>
      <c r="AE29" t="s">
        <v>92</v>
      </c>
      <c r="AF29" t="s">
        <v>92</v>
      </c>
    </row>
    <row r="30" spans="1:32" x14ac:dyDescent="0.25">
      <c r="A30" t="s">
        <v>32</v>
      </c>
      <c r="B30" s="1">
        <v>243275</v>
      </c>
      <c r="C30" s="1">
        <v>43386</v>
      </c>
      <c r="D30" s="1">
        <v>51706</v>
      </c>
      <c r="E30" s="1">
        <v>59549</v>
      </c>
      <c r="F30" s="1">
        <v>45599</v>
      </c>
      <c r="G30" s="1">
        <v>43033</v>
      </c>
      <c r="H30" t="s">
        <v>92</v>
      </c>
      <c r="I30" t="s">
        <v>92</v>
      </c>
      <c r="J30" t="s">
        <v>92</v>
      </c>
      <c r="K30" t="s">
        <v>92</v>
      </c>
      <c r="L30" t="s">
        <v>92</v>
      </c>
      <c r="M30" t="s">
        <v>92</v>
      </c>
      <c r="N30" t="s">
        <v>92</v>
      </c>
      <c r="O30" t="s">
        <v>92</v>
      </c>
      <c r="P30" t="s">
        <v>92</v>
      </c>
      <c r="Q30" t="s">
        <v>92</v>
      </c>
      <c r="R30" t="s">
        <v>92</v>
      </c>
      <c r="S30" t="s">
        <v>92</v>
      </c>
      <c r="T30" t="s">
        <v>92</v>
      </c>
      <c r="U30" t="s">
        <v>92</v>
      </c>
      <c r="V30" t="s">
        <v>92</v>
      </c>
      <c r="W30" t="s">
        <v>92</v>
      </c>
      <c r="X30" t="s">
        <v>92</v>
      </c>
      <c r="Y30" t="s">
        <v>92</v>
      </c>
      <c r="Z30" t="s">
        <v>92</v>
      </c>
      <c r="AA30" t="s">
        <v>92</v>
      </c>
      <c r="AB30" t="s">
        <v>92</v>
      </c>
      <c r="AC30" t="s">
        <v>92</v>
      </c>
      <c r="AD30" t="s">
        <v>92</v>
      </c>
      <c r="AE30" t="s">
        <v>92</v>
      </c>
      <c r="AF30" t="s">
        <v>92</v>
      </c>
    </row>
    <row r="31" spans="1:32" x14ac:dyDescent="0.25">
      <c r="A31" t="s">
        <v>33</v>
      </c>
      <c r="B31" s="1">
        <v>39258</v>
      </c>
      <c r="C31" s="1">
        <v>7783</v>
      </c>
      <c r="D31" s="1">
        <v>7781</v>
      </c>
      <c r="E31" s="1">
        <v>8120</v>
      </c>
      <c r="F31" s="1">
        <v>7699</v>
      </c>
      <c r="G31" s="1">
        <v>7872</v>
      </c>
      <c r="H31" t="s">
        <v>92</v>
      </c>
      <c r="I31" t="s">
        <v>92</v>
      </c>
      <c r="J31" t="s">
        <v>92</v>
      </c>
      <c r="K31" t="s">
        <v>92</v>
      </c>
      <c r="L31" t="s">
        <v>92</v>
      </c>
      <c r="M31" t="s">
        <v>92</v>
      </c>
      <c r="N31" t="s">
        <v>92</v>
      </c>
      <c r="O31" t="s">
        <v>92</v>
      </c>
      <c r="P31" t="s">
        <v>92</v>
      </c>
      <c r="Q31" t="s">
        <v>92</v>
      </c>
      <c r="R31" t="s">
        <v>92</v>
      </c>
      <c r="S31" t="s">
        <v>92</v>
      </c>
      <c r="T31" t="s">
        <v>92</v>
      </c>
      <c r="U31" t="s">
        <v>92</v>
      </c>
      <c r="V31" t="s">
        <v>92</v>
      </c>
      <c r="W31" t="s">
        <v>92</v>
      </c>
      <c r="X31" t="s">
        <v>92</v>
      </c>
      <c r="Y31" t="s">
        <v>92</v>
      </c>
      <c r="Z31" t="s">
        <v>92</v>
      </c>
      <c r="AA31" t="s">
        <v>92</v>
      </c>
      <c r="AB31" t="s">
        <v>92</v>
      </c>
      <c r="AC31" t="s">
        <v>92</v>
      </c>
      <c r="AD31" t="s">
        <v>92</v>
      </c>
      <c r="AE31" t="s">
        <v>92</v>
      </c>
      <c r="AF31" t="s">
        <v>92</v>
      </c>
    </row>
    <row r="32" spans="1:32" x14ac:dyDescent="0.25">
      <c r="A32" t="s">
        <v>34</v>
      </c>
      <c r="B32" s="1">
        <v>134389</v>
      </c>
      <c r="C32" s="1">
        <v>22463</v>
      </c>
      <c r="D32" s="1">
        <v>29801</v>
      </c>
      <c r="E32" s="1">
        <v>28642</v>
      </c>
      <c r="F32" s="1">
        <v>28238</v>
      </c>
      <c r="G32" s="1">
        <v>25243</v>
      </c>
      <c r="H32" t="s">
        <v>92</v>
      </c>
      <c r="I32" t="s">
        <v>92</v>
      </c>
      <c r="J32" t="s">
        <v>92</v>
      </c>
      <c r="K32" t="s">
        <v>92</v>
      </c>
      <c r="L32" t="s">
        <v>92</v>
      </c>
      <c r="M32" t="s">
        <v>92</v>
      </c>
      <c r="N32" t="s">
        <v>92</v>
      </c>
      <c r="O32" t="s">
        <v>92</v>
      </c>
      <c r="P32" t="s">
        <v>92</v>
      </c>
      <c r="Q32" t="s">
        <v>92</v>
      </c>
      <c r="R32" t="s">
        <v>92</v>
      </c>
      <c r="S32" t="s">
        <v>92</v>
      </c>
      <c r="T32" t="s">
        <v>92</v>
      </c>
      <c r="U32" t="s">
        <v>92</v>
      </c>
      <c r="V32" t="s">
        <v>92</v>
      </c>
      <c r="W32" t="s">
        <v>92</v>
      </c>
      <c r="X32" t="s">
        <v>92</v>
      </c>
      <c r="Y32" t="s">
        <v>92</v>
      </c>
      <c r="Z32" t="s">
        <v>92</v>
      </c>
      <c r="AA32" t="s">
        <v>92</v>
      </c>
      <c r="AB32" t="s">
        <v>92</v>
      </c>
      <c r="AC32" t="s">
        <v>92</v>
      </c>
      <c r="AD32" t="s">
        <v>92</v>
      </c>
      <c r="AE32" t="s">
        <v>92</v>
      </c>
      <c r="AF32" t="s">
        <v>92</v>
      </c>
    </row>
    <row r="33" spans="1:32" x14ac:dyDescent="0.25">
      <c r="A33" t="s">
        <v>35</v>
      </c>
      <c r="B33" s="1">
        <v>19844</v>
      </c>
      <c r="C33" s="1">
        <v>5399</v>
      </c>
      <c r="D33" s="1">
        <v>3437</v>
      </c>
      <c r="E33" s="1">
        <v>6732</v>
      </c>
      <c r="F33" s="1">
        <v>3895</v>
      </c>
      <c r="G33">
        <v>379</v>
      </c>
      <c r="H33" t="s">
        <v>92</v>
      </c>
      <c r="I33" t="s">
        <v>92</v>
      </c>
      <c r="J33" t="s">
        <v>92</v>
      </c>
      <c r="K33" t="s">
        <v>92</v>
      </c>
      <c r="L33" t="s">
        <v>92</v>
      </c>
      <c r="M33" t="s">
        <v>92</v>
      </c>
      <c r="N33" t="s">
        <v>92</v>
      </c>
      <c r="O33" t="s">
        <v>92</v>
      </c>
      <c r="P33" t="s">
        <v>92</v>
      </c>
      <c r="Q33" t="s">
        <v>92</v>
      </c>
      <c r="R33" t="s">
        <v>92</v>
      </c>
      <c r="S33" t="s">
        <v>92</v>
      </c>
      <c r="T33" t="s">
        <v>92</v>
      </c>
      <c r="U33" t="s">
        <v>92</v>
      </c>
      <c r="V33" t="s">
        <v>92</v>
      </c>
      <c r="W33" t="s">
        <v>92</v>
      </c>
      <c r="X33" t="s">
        <v>92</v>
      </c>
      <c r="Y33" t="s">
        <v>92</v>
      </c>
      <c r="Z33" t="s">
        <v>92</v>
      </c>
      <c r="AA33" t="s">
        <v>92</v>
      </c>
      <c r="AB33" t="s">
        <v>92</v>
      </c>
      <c r="AC33" t="s">
        <v>92</v>
      </c>
      <c r="AD33" t="s">
        <v>92</v>
      </c>
      <c r="AE33" t="s">
        <v>92</v>
      </c>
      <c r="AF33" t="s">
        <v>92</v>
      </c>
    </row>
    <row r="34" spans="1:32" x14ac:dyDescent="0.25">
      <c r="A34" t="s">
        <v>36</v>
      </c>
      <c r="B34" s="1">
        <v>116408</v>
      </c>
      <c r="C34" s="1">
        <v>18456</v>
      </c>
      <c r="D34" s="1">
        <v>22912</v>
      </c>
      <c r="E34" s="1">
        <v>27374</v>
      </c>
      <c r="F34" s="1">
        <v>26424</v>
      </c>
      <c r="G34" s="1">
        <v>21243</v>
      </c>
      <c r="H34" t="s">
        <v>92</v>
      </c>
      <c r="I34" t="s">
        <v>92</v>
      </c>
      <c r="J34" t="s">
        <v>92</v>
      </c>
      <c r="K34" t="s">
        <v>92</v>
      </c>
      <c r="L34" t="s">
        <v>92</v>
      </c>
      <c r="M34" t="s">
        <v>92</v>
      </c>
      <c r="N34" t="s">
        <v>92</v>
      </c>
      <c r="O34" t="s">
        <v>92</v>
      </c>
      <c r="P34" t="s">
        <v>92</v>
      </c>
      <c r="Q34" t="s">
        <v>92</v>
      </c>
      <c r="R34" t="s">
        <v>92</v>
      </c>
      <c r="S34" t="s">
        <v>92</v>
      </c>
      <c r="T34" t="s">
        <v>92</v>
      </c>
      <c r="U34" t="s">
        <v>92</v>
      </c>
      <c r="V34" t="s">
        <v>92</v>
      </c>
      <c r="W34" t="s">
        <v>92</v>
      </c>
      <c r="X34" t="s">
        <v>92</v>
      </c>
      <c r="Y34" t="s">
        <v>92</v>
      </c>
      <c r="Z34" t="s">
        <v>92</v>
      </c>
      <c r="AA34" t="s">
        <v>92</v>
      </c>
      <c r="AB34" t="s">
        <v>92</v>
      </c>
      <c r="AC34" t="s">
        <v>92</v>
      </c>
      <c r="AD34" t="s">
        <v>92</v>
      </c>
      <c r="AE34" t="s">
        <v>92</v>
      </c>
      <c r="AF34" t="s">
        <v>92</v>
      </c>
    </row>
    <row r="35" spans="1:32" x14ac:dyDescent="0.25">
      <c r="A35" t="s">
        <v>37</v>
      </c>
      <c r="B35" s="1">
        <v>121084</v>
      </c>
      <c r="C35" s="1">
        <v>20064</v>
      </c>
      <c r="D35" s="1">
        <v>21327</v>
      </c>
      <c r="E35" s="1">
        <v>25174</v>
      </c>
      <c r="F35" s="1">
        <v>24574</v>
      </c>
      <c r="G35" s="1">
        <v>29944</v>
      </c>
      <c r="H35" t="s">
        <v>92</v>
      </c>
      <c r="I35" t="s">
        <v>92</v>
      </c>
      <c r="J35" t="s">
        <v>92</v>
      </c>
      <c r="K35" t="s">
        <v>92</v>
      </c>
      <c r="L35" t="s">
        <v>92</v>
      </c>
      <c r="M35" t="s">
        <v>92</v>
      </c>
      <c r="N35" t="s">
        <v>92</v>
      </c>
      <c r="O35" t="s">
        <v>92</v>
      </c>
      <c r="P35" t="s">
        <v>92</v>
      </c>
      <c r="Q35" t="s">
        <v>92</v>
      </c>
      <c r="R35" t="s">
        <v>92</v>
      </c>
      <c r="S35" t="s">
        <v>92</v>
      </c>
      <c r="T35" t="s">
        <v>92</v>
      </c>
      <c r="U35" t="s">
        <v>92</v>
      </c>
      <c r="V35" t="s">
        <v>92</v>
      </c>
      <c r="W35" t="s">
        <v>92</v>
      </c>
      <c r="X35" t="s">
        <v>92</v>
      </c>
      <c r="Y35" t="s">
        <v>92</v>
      </c>
      <c r="Z35" t="s">
        <v>92</v>
      </c>
      <c r="AA35" t="s">
        <v>92</v>
      </c>
      <c r="AB35" t="s">
        <v>92</v>
      </c>
      <c r="AC35" t="s">
        <v>92</v>
      </c>
      <c r="AD35" t="s">
        <v>92</v>
      </c>
      <c r="AE35" t="s">
        <v>92</v>
      </c>
      <c r="AF35" t="s">
        <v>92</v>
      </c>
    </row>
    <row r="36" spans="1:32" x14ac:dyDescent="0.25">
      <c r="A36" t="s">
        <v>38</v>
      </c>
      <c r="B36" s="1">
        <v>81230</v>
      </c>
      <c r="C36" s="1">
        <v>14457</v>
      </c>
      <c r="D36" s="1">
        <v>16885</v>
      </c>
      <c r="E36" s="1">
        <v>13371</v>
      </c>
      <c r="F36" s="1">
        <v>12602</v>
      </c>
      <c r="G36" s="1">
        <v>23917</v>
      </c>
      <c r="H36" t="s">
        <v>92</v>
      </c>
      <c r="I36" t="s">
        <v>92</v>
      </c>
      <c r="J36" t="s">
        <v>92</v>
      </c>
      <c r="K36" t="s">
        <v>92</v>
      </c>
      <c r="L36" t="s">
        <v>92</v>
      </c>
      <c r="M36" t="s">
        <v>92</v>
      </c>
      <c r="N36" t="s">
        <v>92</v>
      </c>
      <c r="O36" t="s">
        <v>92</v>
      </c>
      <c r="P36" t="s">
        <v>92</v>
      </c>
      <c r="Q36" t="s">
        <v>92</v>
      </c>
      <c r="R36" t="s">
        <v>92</v>
      </c>
      <c r="S36" t="s">
        <v>92</v>
      </c>
      <c r="T36" t="s">
        <v>92</v>
      </c>
      <c r="U36" t="s">
        <v>92</v>
      </c>
      <c r="V36" t="s">
        <v>92</v>
      </c>
      <c r="W36" t="s">
        <v>92</v>
      </c>
      <c r="X36" t="s">
        <v>92</v>
      </c>
      <c r="Y36" t="s">
        <v>92</v>
      </c>
      <c r="Z36" t="s">
        <v>92</v>
      </c>
      <c r="AA36" t="s">
        <v>92</v>
      </c>
      <c r="AB36" t="s">
        <v>92</v>
      </c>
      <c r="AC36" t="s">
        <v>92</v>
      </c>
      <c r="AD36" t="s">
        <v>92</v>
      </c>
      <c r="AE36" t="s">
        <v>92</v>
      </c>
      <c r="AF36" t="s">
        <v>92</v>
      </c>
    </row>
    <row r="37" spans="1:32" x14ac:dyDescent="0.25">
      <c r="A37" t="s">
        <v>39</v>
      </c>
      <c r="B37" s="1">
        <v>43798</v>
      </c>
      <c r="C37" s="1">
        <v>28286</v>
      </c>
      <c r="D37" s="1">
        <v>39604</v>
      </c>
      <c r="E37" s="1">
        <v>35810</v>
      </c>
      <c r="F37" s="1">
        <v>9505</v>
      </c>
      <c r="G37" s="1">
        <v>-69407</v>
      </c>
      <c r="H37" t="s">
        <v>92</v>
      </c>
      <c r="I37" t="s">
        <v>92</v>
      </c>
      <c r="J37" t="s">
        <v>92</v>
      </c>
      <c r="K37" t="s">
        <v>92</v>
      </c>
      <c r="L37" t="s">
        <v>92</v>
      </c>
      <c r="M37" t="s">
        <v>92</v>
      </c>
      <c r="N37" t="s">
        <v>92</v>
      </c>
      <c r="O37" t="s">
        <v>92</v>
      </c>
      <c r="P37" t="s">
        <v>92</v>
      </c>
      <c r="Q37" t="s">
        <v>92</v>
      </c>
      <c r="R37" t="s">
        <v>92</v>
      </c>
      <c r="S37" t="s">
        <v>92</v>
      </c>
      <c r="T37" t="s">
        <v>92</v>
      </c>
      <c r="U37" t="s">
        <v>92</v>
      </c>
      <c r="V37" t="s">
        <v>92</v>
      </c>
      <c r="W37" t="s">
        <v>92</v>
      </c>
      <c r="X37" t="s">
        <v>92</v>
      </c>
      <c r="Y37" t="s">
        <v>92</v>
      </c>
      <c r="Z37" t="s">
        <v>92</v>
      </c>
      <c r="AA37" t="s">
        <v>92</v>
      </c>
      <c r="AB37" t="s">
        <v>92</v>
      </c>
      <c r="AC37" t="s">
        <v>92</v>
      </c>
      <c r="AD37" t="s">
        <v>92</v>
      </c>
      <c r="AE37" t="s">
        <v>92</v>
      </c>
      <c r="AF37" t="s">
        <v>92</v>
      </c>
    </row>
    <row r="38" spans="1:32" x14ac:dyDescent="0.25">
      <c r="A38" t="s">
        <v>40</v>
      </c>
      <c r="B38" s="1">
        <v>88537</v>
      </c>
      <c r="C38" s="1">
        <v>55330</v>
      </c>
      <c r="D38" s="1">
        <v>67014</v>
      </c>
      <c r="E38" s="1">
        <v>43294</v>
      </c>
      <c r="F38" s="1">
        <v>-7698</v>
      </c>
      <c r="G38" s="1">
        <v>-69397</v>
      </c>
      <c r="H38" t="s">
        <v>92</v>
      </c>
      <c r="I38" t="s">
        <v>92</v>
      </c>
      <c r="J38" t="s">
        <v>92</v>
      </c>
      <c r="K38" t="s">
        <v>92</v>
      </c>
      <c r="L38" t="s">
        <v>92</v>
      </c>
      <c r="M38" t="s">
        <v>92</v>
      </c>
      <c r="N38" t="s">
        <v>92</v>
      </c>
      <c r="O38" t="s">
        <v>92</v>
      </c>
      <c r="P38" t="s">
        <v>92</v>
      </c>
      <c r="Q38" t="s">
        <v>92</v>
      </c>
      <c r="R38" t="s">
        <v>92</v>
      </c>
      <c r="S38" t="s">
        <v>92</v>
      </c>
      <c r="T38" t="s">
        <v>92</v>
      </c>
      <c r="U38" t="s">
        <v>92</v>
      </c>
      <c r="V38" t="s">
        <v>92</v>
      </c>
      <c r="W38" t="s">
        <v>92</v>
      </c>
      <c r="X38" t="s">
        <v>92</v>
      </c>
      <c r="Y38" t="s">
        <v>92</v>
      </c>
      <c r="Z38" t="s">
        <v>92</v>
      </c>
      <c r="AA38" t="s">
        <v>92</v>
      </c>
      <c r="AB38" t="s">
        <v>92</v>
      </c>
      <c r="AC38" t="s">
        <v>92</v>
      </c>
      <c r="AD38" t="s">
        <v>92</v>
      </c>
      <c r="AE38" t="s">
        <v>92</v>
      </c>
      <c r="AF38" t="s">
        <v>92</v>
      </c>
    </row>
    <row r="40" spans="1:32" x14ac:dyDescent="0.25">
      <c r="A40" t="s">
        <v>93</v>
      </c>
    </row>
    <row r="41" spans="1:32" x14ac:dyDescent="0.25">
      <c r="A41" t="s">
        <v>92</v>
      </c>
      <c r="B41" t="s">
        <v>94</v>
      </c>
    </row>
    <row r="46" spans="1:32" x14ac:dyDescent="0.25">
      <c r="A46" t="s">
        <v>41</v>
      </c>
    </row>
    <row r="47" spans="1:32" x14ac:dyDescent="0.25">
      <c r="A47">
        <v>1</v>
      </c>
      <c r="B47" t="s">
        <v>61</v>
      </c>
    </row>
    <row r="48" spans="1:32" x14ac:dyDescent="0.25">
      <c r="A48">
        <v>2</v>
      </c>
      <c r="B48" t="s">
        <v>42</v>
      </c>
      <c r="C48" t="s">
        <v>43</v>
      </c>
      <c r="D48" t="s">
        <v>44</v>
      </c>
    </row>
    <row r="52" spans="1:1" x14ac:dyDescent="0.25">
      <c r="A52" t="s">
        <v>45</v>
      </c>
    </row>
    <row r="53" spans="1:1" x14ac:dyDescent="0.25">
      <c r="A53" t="s">
        <v>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U36"/>
  <sheetViews>
    <sheetView workbookViewId="0"/>
  </sheetViews>
  <sheetFormatPr defaultRowHeight="15" x14ac:dyDescent="0.25"/>
  <sheetData>
    <row r="1" spans="1:151" x14ac:dyDescent="0.25">
      <c r="A1" t="s">
        <v>0</v>
      </c>
    </row>
    <row r="2" spans="1:151" x14ac:dyDescent="0.25">
      <c r="A2" t="s">
        <v>1</v>
      </c>
    </row>
    <row r="3" spans="1:151" x14ac:dyDescent="0.25">
      <c r="A3" t="s">
        <v>2</v>
      </c>
    </row>
    <row r="4" spans="1:151" x14ac:dyDescent="0.25">
      <c r="A4" t="s">
        <v>3</v>
      </c>
    </row>
    <row r="5" spans="1:151" x14ac:dyDescent="0.25">
      <c r="A5" t="s">
        <v>4</v>
      </c>
    </row>
    <row r="6" spans="1:151" x14ac:dyDescent="0.25">
      <c r="A6" s="2" t="s">
        <v>47</v>
      </c>
    </row>
    <row r="9" spans="1:151" x14ac:dyDescent="0.25">
      <c r="A9" t="s">
        <v>5</v>
      </c>
      <c r="B9" t="s">
        <v>6</v>
      </c>
    </row>
    <row r="10" spans="1:151" x14ac:dyDescent="0.25">
      <c r="A10" t="s">
        <v>7</v>
      </c>
      <c r="B10" t="s">
        <v>8</v>
      </c>
    </row>
    <row r="11" spans="1:151" x14ac:dyDescent="0.25">
      <c r="A11" t="s">
        <v>9</v>
      </c>
      <c r="B11" t="s">
        <v>10</v>
      </c>
      <c r="AA11" t="s">
        <v>11</v>
      </c>
      <c r="AZ11" t="s">
        <v>12</v>
      </c>
      <c r="BY11" t="s">
        <v>13</v>
      </c>
      <c r="CX11" t="s">
        <v>14</v>
      </c>
      <c r="DW11" t="s">
        <v>15</v>
      </c>
    </row>
    <row r="12" spans="1:151" x14ac:dyDescent="0.25">
      <c r="A12" t="s">
        <v>16</v>
      </c>
      <c r="B12">
        <v>1999</v>
      </c>
      <c r="C12">
        <v>2000</v>
      </c>
      <c r="D12">
        <v>2001</v>
      </c>
      <c r="E12">
        <v>2002</v>
      </c>
      <c r="F12">
        <v>2003</v>
      </c>
      <c r="G12">
        <v>2004</v>
      </c>
      <c r="H12">
        <v>2005</v>
      </c>
      <c r="I12">
        <v>2006</v>
      </c>
      <c r="J12">
        <v>2007</v>
      </c>
      <c r="K12">
        <v>2008</v>
      </c>
      <c r="L12">
        <v>2009</v>
      </c>
      <c r="M12">
        <v>2010</v>
      </c>
      <c r="N12">
        <v>2011</v>
      </c>
      <c r="O12">
        <v>2012</v>
      </c>
      <c r="P12">
        <v>2013</v>
      </c>
      <c r="Q12">
        <v>2014</v>
      </c>
      <c r="R12">
        <v>2015</v>
      </c>
      <c r="S12">
        <v>2016</v>
      </c>
      <c r="T12">
        <v>2017</v>
      </c>
      <c r="U12">
        <v>2018</v>
      </c>
      <c r="V12">
        <v>2019</v>
      </c>
      <c r="W12">
        <v>2020</v>
      </c>
      <c r="X12">
        <v>2021</v>
      </c>
      <c r="Y12">
        <v>2022</v>
      </c>
      <c r="Z12">
        <v>2023</v>
      </c>
      <c r="AA12">
        <v>1999</v>
      </c>
      <c r="AB12">
        <v>2000</v>
      </c>
      <c r="AC12">
        <v>2001</v>
      </c>
      <c r="AD12">
        <v>2002</v>
      </c>
      <c r="AE12">
        <v>2003</v>
      </c>
      <c r="AF12">
        <v>2004</v>
      </c>
      <c r="AG12">
        <v>2005</v>
      </c>
      <c r="AH12">
        <v>2006</v>
      </c>
      <c r="AI12">
        <v>2007</v>
      </c>
      <c r="AJ12">
        <v>2008</v>
      </c>
      <c r="AK12">
        <v>2009</v>
      </c>
      <c r="AL12">
        <v>2010</v>
      </c>
      <c r="AM12">
        <v>2011</v>
      </c>
      <c r="AN12">
        <v>2012</v>
      </c>
      <c r="AO12">
        <v>2013</v>
      </c>
      <c r="AP12">
        <v>2014</v>
      </c>
      <c r="AQ12">
        <v>2015</v>
      </c>
      <c r="AR12">
        <v>2016</v>
      </c>
      <c r="AS12">
        <v>2017</v>
      </c>
      <c r="AT12">
        <v>2018</v>
      </c>
      <c r="AU12">
        <v>2019</v>
      </c>
      <c r="AV12">
        <v>2020</v>
      </c>
      <c r="AW12">
        <v>2021</v>
      </c>
      <c r="AX12">
        <v>2022</v>
      </c>
      <c r="AY12">
        <v>2023</v>
      </c>
      <c r="AZ12">
        <v>1999</v>
      </c>
      <c r="BA12">
        <v>2000</v>
      </c>
      <c r="BB12">
        <v>2001</v>
      </c>
      <c r="BC12">
        <v>2002</v>
      </c>
      <c r="BD12">
        <v>2003</v>
      </c>
      <c r="BE12">
        <v>2004</v>
      </c>
      <c r="BF12">
        <v>2005</v>
      </c>
      <c r="BG12">
        <v>2006</v>
      </c>
      <c r="BH12">
        <v>2007</v>
      </c>
      <c r="BI12">
        <v>2008</v>
      </c>
      <c r="BJ12">
        <v>2009</v>
      </c>
      <c r="BK12">
        <v>2010</v>
      </c>
      <c r="BL12">
        <v>2011</v>
      </c>
      <c r="BM12">
        <v>2012</v>
      </c>
      <c r="BN12">
        <v>2013</v>
      </c>
      <c r="BO12">
        <v>2014</v>
      </c>
      <c r="BP12">
        <v>2015</v>
      </c>
      <c r="BQ12">
        <v>2016</v>
      </c>
      <c r="BR12">
        <v>2017</v>
      </c>
      <c r="BS12">
        <v>2018</v>
      </c>
      <c r="BT12">
        <v>2019</v>
      </c>
      <c r="BU12">
        <v>2020</v>
      </c>
      <c r="BV12">
        <v>2021</v>
      </c>
      <c r="BW12">
        <v>2022</v>
      </c>
      <c r="BX12">
        <v>2023</v>
      </c>
      <c r="BY12">
        <v>1999</v>
      </c>
      <c r="BZ12">
        <v>2000</v>
      </c>
      <c r="CA12">
        <v>2001</v>
      </c>
      <c r="CB12">
        <v>2002</v>
      </c>
      <c r="CC12">
        <v>2003</v>
      </c>
      <c r="CD12">
        <v>2004</v>
      </c>
      <c r="CE12">
        <v>2005</v>
      </c>
      <c r="CF12">
        <v>2006</v>
      </c>
      <c r="CG12">
        <v>2007</v>
      </c>
      <c r="CH12">
        <v>2008</v>
      </c>
      <c r="CI12">
        <v>2009</v>
      </c>
      <c r="CJ12">
        <v>2010</v>
      </c>
      <c r="CK12">
        <v>2011</v>
      </c>
      <c r="CL12">
        <v>2012</v>
      </c>
      <c r="CM12">
        <v>2013</v>
      </c>
      <c r="CN12">
        <v>2014</v>
      </c>
      <c r="CO12">
        <v>2015</v>
      </c>
      <c r="CP12">
        <v>2016</v>
      </c>
      <c r="CQ12">
        <v>2017</v>
      </c>
      <c r="CR12">
        <v>2018</v>
      </c>
      <c r="CS12">
        <v>2019</v>
      </c>
      <c r="CT12">
        <v>2020</v>
      </c>
      <c r="CU12">
        <v>2021</v>
      </c>
      <c r="CV12">
        <v>2022</v>
      </c>
      <c r="CW12">
        <v>2023</v>
      </c>
      <c r="CX12">
        <v>1999</v>
      </c>
      <c r="CY12">
        <v>2000</v>
      </c>
      <c r="CZ12">
        <v>2001</v>
      </c>
      <c r="DA12">
        <v>2002</v>
      </c>
      <c r="DB12">
        <v>2003</v>
      </c>
      <c r="DC12">
        <v>2004</v>
      </c>
      <c r="DD12">
        <v>2005</v>
      </c>
      <c r="DE12">
        <v>2006</v>
      </c>
      <c r="DF12">
        <v>2007</v>
      </c>
      <c r="DG12">
        <v>2008</v>
      </c>
      <c r="DH12">
        <v>2009</v>
      </c>
      <c r="DI12">
        <v>2010</v>
      </c>
      <c r="DJ12">
        <v>2011</v>
      </c>
      <c r="DK12">
        <v>2012</v>
      </c>
      <c r="DL12">
        <v>2013</v>
      </c>
      <c r="DM12">
        <v>2014</v>
      </c>
      <c r="DN12">
        <v>2015</v>
      </c>
      <c r="DO12">
        <v>2016</v>
      </c>
      <c r="DP12">
        <v>2017</v>
      </c>
      <c r="DQ12">
        <v>2018</v>
      </c>
      <c r="DR12">
        <v>2019</v>
      </c>
      <c r="DS12">
        <v>2020</v>
      </c>
      <c r="DT12">
        <v>2021</v>
      </c>
      <c r="DU12">
        <v>2022</v>
      </c>
      <c r="DV12">
        <v>2023</v>
      </c>
      <c r="DW12">
        <v>1999</v>
      </c>
      <c r="DX12">
        <v>2000</v>
      </c>
      <c r="DY12">
        <v>2001</v>
      </c>
      <c r="DZ12">
        <v>2002</v>
      </c>
      <c r="EA12">
        <v>2003</v>
      </c>
      <c r="EB12">
        <v>2004</v>
      </c>
      <c r="EC12">
        <v>2005</v>
      </c>
      <c r="ED12">
        <v>2006</v>
      </c>
      <c r="EE12">
        <v>2007</v>
      </c>
      <c r="EF12">
        <v>2008</v>
      </c>
      <c r="EG12">
        <v>2009</v>
      </c>
      <c r="EH12">
        <v>2010</v>
      </c>
      <c r="EI12">
        <v>2011</v>
      </c>
      <c r="EJ12">
        <v>2012</v>
      </c>
      <c r="EK12">
        <v>2013</v>
      </c>
      <c r="EL12">
        <v>2014</v>
      </c>
      <c r="EM12">
        <v>2015</v>
      </c>
      <c r="EN12">
        <v>2016</v>
      </c>
      <c r="EO12">
        <v>2017</v>
      </c>
      <c r="EP12">
        <v>2018</v>
      </c>
      <c r="EQ12">
        <v>2019</v>
      </c>
      <c r="ER12">
        <v>2020</v>
      </c>
      <c r="ES12">
        <v>2021</v>
      </c>
      <c r="ET12">
        <v>2022</v>
      </c>
      <c r="EU12">
        <v>2023</v>
      </c>
    </row>
    <row r="13" spans="1:151" x14ac:dyDescent="0.25">
      <c r="B13" t="s">
        <v>17</v>
      </c>
    </row>
    <row r="14" spans="1:151" x14ac:dyDescent="0.25">
      <c r="A14" t="s">
        <v>18</v>
      </c>
      <c r="B14" s="1">
        <v>546261</v>
      </c>
      <c r="C14" s="1">
        <v>579683</v>
      </c>
      <c r="D14" s="1">
        <v>615286</v>
      </c>
      <c r="E14" s="1">
        <v>642584</v>
      </c>
      <c r="F14" s="1">
        <v>663239</v>
      </c>
      <c r="G14" s="1">
        <v>695238</v>
      </c>
      <c r="H14" s="1">
        <v>721510</v>
      </c>
      <c r="I14" s="1">
        <v>774375</v>
      </c>
      <c r="J14" s="1">
        <v>816321</v>
      </c>
      <c r="K14" s="1">
        <v>862404</v>
      </c>
      <c r="L14" s="1">
        <v>884783</v>
      </c>
      <c r="M14" s="1">
        <v>928091</v>
      </c>
      <c r="N14" s="1">
        <v>962102</v>
      </c>
      <c r="O14" s="1">
        <v>1001254</v>
      </c>
      <c r="P14" s="1">
        <v>1046791</v>
      </c>
      <c r="Q14" s="1">
        <v>1081654</v>
      </c>
      <c r="R14" s="1">
        <v>1129875</v>
      </c>
      <c r="S14" s="1">
        <v>1132763</v>
      </c>
      <c r="T14" s="1">
        <v>1189366</v>
      </c>
      <c r="U14" s="1">
        <v>1224919</v>
      </c>
      <c r="V14" s="1">
        <v>1280362</v>
      </c>
      <c r="W14" s="1">
        <v>1387659</v>
      </c>
      <c r="X14" s="1">
        <v>1435372</v>
      </c>
      <c r="Y14" s="1">
        <v>1514289</v>
      </c>
      <c r="Z14" s="1">
        <v>1597953</v>
      </c>
      <c r="AA14" s="1">
        <v>34499</v>
      </c>
      <c r="AB14" s="1">
        <v>35458</v>
      </c>
      <c r="AC14" s="1">
        <v>39157</v>
      </c>
      <c r="AD14" s="1">
        <v>40052</v>
      </c>
      <c r="AE14" s="1">
        <v>42088</v>
      </c>
      <c r="AF14" s="1">
        <v>42850</v>
      </c>
      <c r="AG14" s="1">
        <v>42545</v>
      </c>
      <c r="AH14" s="1">
        <v>47335</v>
      </c>
      <c r="AI14" s="1">
        <v>51170</v>
      </c>
      <c r="AJ14" s="1">
        <v>52821</v>
      </c>
      <c r="AK14" s="1">
        <v>55537</v>
      </c>
      <c r="AL14" s="1">
        <v>58113</v>
      </c>
      <c r="AM14" s="1">
        <v>61040</v>
      </c>
      <c r="AN14" s="1">
        <v>65634</v>
      </c>
      <c r="AO14" s="1">
        <v>65502</v>
      </c>
      <c r="AP14" s="1">
        <v>67552</v>
      </c>
      <c r="AQ14" s="1">
        <v>66938</v>
      </c>
      <c r="AR14" s="1">
        <v>69928</v>
      </c>
      <c r="AS14" s="1">
        <v>72456</v>
      </c>
      <c r="AT14" s="1">
        <v>76603</v>
      </c>
      <c r="AU14" s="1">
        <v>80065</v>
      </c>
      <c r="AV14" s="1">
        <v>103704</v>
      </c>
      <c r="AW14" s="1">
        <v>101607</v>
      </c>
      <c r="AX14" s="1">
        <v>102019</v>
      </c>
      <c r="AY14" s="1">
        <v>104768</v>
      </c>
      <c r="AZ14" s="1">
        <v>68716</v>
      </c>
      <c r="BA14" s="1">
        <v>71662</v>
      </c>
      <c r="BB14" s="1">
        <v>78344</v>
      </c>
      <c r="BC14" s="1">
        <v>80977</v>
      </c>
      <c r="BD14" s="1">
        <v>82309</v>
      </c>
      <c r="BE14" s="1">
        <v>85376</v>
      </c>
      <c r="BF14" s="1">
        <v>88958</v>
      </c>
      <c r="BG14" s="1">
        <v>95636</v>
      </c>
      <c r="BH14" s="1">
        <v>102488</v>
      </c>
      <c r="BI14" s="1">
        <v>106771</v>
      </c>
      <c r="BJ14" s="1">
        <v>109843</v>
      </c>
      <c r="BK14" s="1">
        <v>116568</v>
      </c>
      <c r="BL14" s="1">
        <v>117882</v>
      </c>
      <c r="BM14" s="1">
        <v>125628</v>
      </c>
      <c r="BN14" s="1">
        <v>128224</v>
      </c>
      <c r="BO14" s="1">
        <v>133327</v>
      </c>
      <c r="BP14" s="1">
        <v>138869</v>
      </c>
      <c r="BQ14" s="1">
        <v>148711</v>
      </c>
      <c r="BR14" s="1">
        <v>153185</v>
      </c>
      <c r="BS14" s="1">
        <v>156572</v>
      </c>
      <c r="BT14" s="1">
        <v>162418</v>
      </c>
      <c r="BU14" s="1">
        <v>192454</v>
      </c>
      <c r="BV14" s="1">
        <v>188620</v>
      </c>
      <c r="BW14" s="1">
        <v>192659</v>
      </c>
      <c r="BX14" s="1">
        <v>197069</v>
      </c>
      <c r="BY14" s="1">
        <v>95888</v>
      </c>
      <c r="BZ14" s="1">
        <v>99140</v>
      </c>
      <c r="CA14" s="1">
        <v>105164</v>
      </c>
      <c r="CB14" s="1">
        <v>107920</v>
      </c>
      <c r="CC14" s="1">
        <v>113036</v>
      </c>
      <c r="CD14" s="1">
        <v>116754</v>
      </c>
      <c r="CE14" s="1">
        <v>121051</v>
      </c>
      <c r="CF14" s="1">
        <v>129762</v>
      </c>
      <c r="CG14" s="1">
        <v>135299</v>
      </c>
      <c r="CH14" s="1">
        <v>144380</v>
      </c>
      <c r="CI14" s="1">
        <v>148085</v>
      </c>
      <c r="CJ14" s="1">
        <v>158821</v>
      </c>
      <c r="CK14" s="1">
        <v>163375</v>
      </c>
      <c r="CL14" s="1">
        <v>169183</v>
      </c>
      <c r="CM14" s="1">
        <v>177598</v>
      </c>
      <c r="CN14" s="1">
        <v>182757</v>
      </c>
      <c r="CO14" s="1">
        <v>198176</v>
      </c>
      <c r="CP14" s="1">
        <v>201029</v>
      </c>
      <c r="CQ14" s="1">
        <v>207424</v>
      </c>
      <c r="CR14" s="1">
        <v>213546</v>
      </c>
      <c r="CS14" s="1">
        <v>222558</v>
      </c>
      <c r="CT14" s="1">
        <v>243885</v>
      </c>
      <c r="CU14" s="1">
        <v>246930</v>
      </c>
      <c r="CV14" s="1">
        <v>253830</v>
      </c>
      <c r="CW14" s="1">
        <v>261882</v>
      </c>
      <c r="CX14" s="1">
        <v>127911</v>
      </c>
      <c r="CY14" s="1">
        <v>133007</v>
      </c>
      <c r="CZ14" s="1">
        <v>141954</v>
      </c>
      <c r="DA14" s="1">
        <v>150479</v>
      </c>
      <c r="DB14" s="1">
        <v>152643</v>
      </c>
      <c r="DC14" s="1">
        <v>159714</v>
      </c>
      <c r="DD14" s="1">
        <v>165687</v>
      </c>
      <c r="DE14" s="1">
        <v>173866</v>
      </c>
      <c r="DF14" s="1">
        <v>182443</v>
      </c>
      <c r="DG14" s="1">
        <v>195169</v>
      </c>
      <c r="DH14" s="1">
        <v>201645</v>
      </c>
      <c r="DI14" s="1">
        <v>214499</v>
      </c>
      <c r="DJ14" s="1">
        <v>225120</v>
      </c>
      <c r="DK14" s="1">
        <v>232385</v>
      </c>
      <c r="DL14" s="1">
        <v>243841</v>
      </c>
      <c r="DM14" s="1">
        <v>253522</v>
      </c>
      <c r="DN14" s="1">
        <v>260965</v>
      </c>
      <c r="DO14" s="1">
        <v>262514</v>
      </c>
      <c r="DP14" s="1">
        <v>277390</v>
      </c>
      <c r="DQ14" s="1">
        <v>286502</v>
      </c>
      <c r="DR14" s="1">
        <v>298307</v>
      </c>
      <c r="DS14" s="1">
        <v>325463</v>
      </c>
      <c r="DT14" s="1">
        <v>345649</v>
      </c>
      <c r="DU14" s="1">
        <v>359861</v>
      </c>
      <c r="DV14" s="1">
        <v>378958</v>
      </c>
      <c r="DW14" s="1">
        <v>219247</v>
      </c>
      <c r="DX14" s="1">
        <v>240416</v>
      </c>
      <c r="DY14" s="1">
        <v>250667</v>
      </c>
      <c r="DZ14" s="1">
        <v>263156</v>
      </c>
      <c r="EA14" s="1">
        <v>273163</v>
      </c>
      <c r="EB14" s="1">
        <v>290544</v>
      </c>
      <c r="EC14" s="1">
        <v>303269</v>
      </c>
      <c r="ED14" s="1">
        <v>327776</v>
      </c>
      <c r="EE14" s="1">
        <v>344921</v>
      </c>
      <c r="EF14" s="1">
        <v>363263</v>
      </c>
      <c r="EG14" s="1">
        <v>369673</v>
      </c>
      <c r="EH14" s="1">
        <v>380090</v>
      </c>
      <c r="EI14" s="1">
        <v>394685</v>
      </c>
      <c r="EJ14" s="1">
        <v>408424</v>
      </c>
      <c r="EK14" s="1">
        <v>431626</v>
      </c>
      <c r="EL14" s="1">
        <v>444496</v>
      </c>
      <c r="EM14" s="1">
        <v>464927</v>
      </c>
      <c r="EN14" s="1">
        <v>450581</v>
      </c>
      <c r="EO14" s="1">
        <v>478911</v>
      </c>
      <c r="EP14" s="1">
        <v>491696</v>
      </c>
      <c r="EQ14" s="1">
        <v>517014</v>
      </c>
      <c r="ER14" s="1">
        <v>522153</v>
      </c>
      <c r="ES14" s="1">
        <v>552566</v>
      </c>
      <c r="ET14" s="1">
        <v>605920</v>
      </c>
      <c r="EU14" s="1">
        <v>655277</v>
      </c>
    </row>
    <row r="15" spans="1:151" x14ac:dyDescent="0.25">
      <c r="A15" t="s">
        <v>19</v>
      </c>
      <c r="B15" s="1">
        <v>506817</v>
      </c>
      <c r="C15" s="1">
        <v>551460</v>
      </c>
      <c r="D15" s="1">
        <v>574278</v>
      </c>
      <c r="E15" s="1">
        <v>596782</v>
      </c>
      <c r="F15" s="1">
        <v>620600</v>
      </c>
      <c r="G15" s="1">
        <v>656154</v>
      </c>
      <c r="H15" s="1">
        <v>692609</v>
      </c>
      <c r="I15" s="1">
        <v>737321</v>
      </c>
      <c r="J15" s="1">
        <v>782564</v>
      </c>
      <c r="K15" s="1">
        <v>818108</v>
      </c>
      <c r="L15" s="1">
        <v>810556</v>
      </c>
      <c r="M15" s="1">
        <v>835940</v>
      </c>
      <c r="N15" s="1">
        <v>881146</v>
      </c>
      <c r="O15" s="1">
        <v>921492</v>
      </c>
      <c r="P15" s="1">
        <v>959181</v>
      </c>
      <c r="Q15" s="1">
        <v>996247</v>
      </c>
      <c r="R15" s="1">
        <v>1024742</v>
      </c>
      <c r="S15" s="1">
        <v>1024142</v>
      </c>
      <c r="T15" s="1">
        <v>1066523</v>
      </c>
      <c r="U15" s="1">
        <v>1122304</v>
      </c>
      <c r="V15" s="1">
        <v>1168597</v>
      </c>
      <c r="W15" s="1">
        <v>1155842</v>
      </c>
      <c r="X15" s="1">
        <v>1264002</v>
      </c>
      <c r="Y15" s="1">
        <v>1380064</v>
      </c>
      <c r="Z15" s="1">
        <v>1470746</v>
      </c>
      <c r="AA15" s="1">
        <v>16091</v>
      </c>
      <c r="AB15" s="1">
        <v>17351</v>
      </c>
      <c r="AC15" s="1">
        <v>18028</v>
      </c>
      <c r="AD15" s="1">
        <v>17444</v>
      </c>
      <c r="AE15" s="1">
        <v>18397</v>
      </c>
      <c r="AF15" s="1">
        <v>19411</v>
      </c>
      <c r="AG15" s="1">
        <v>19129</v>
      </c>
      <c r="AH15" s="1">
        <v>22137</v>
      </c>
      <c r="AI15" s="1">
        <v>24731</v>
      </c>
      <c r="AJ15" s="1">
        <v>25695</v>
      </c>
      <c r="AK15" s="1">
        <v>24060</v>
      </c>
      <c r="AL15" s="1">
        <v>23787</v>
      </c>
      <c r="AM15" s="1">
        <v>26172</v>
      </c>
      <c r="AN15" s="1">
        <v>28682</v>
      </c>
      <c r="AO15" s="1">
        <v>29118</v>
      </c>
      <c r="AP15" s="1">
        <v>27939</v>
      </c>
      <c r="AQ15" s="1">
        <v>27967</v>
      </c>
      <c r="AR15" s="1">
        <v>28220</v>
      </c>
      <c r="AS15" s="1">
        <v>29147</v>
      </c>
      <c r="AT15" s="1">
        <v>32486</v>
      </c>
      <c r="AU15" s="1">
        <v>33932</v>
      </c>
      <c r="AV15" s="1">
        <v>27985</v>
      </c>
      <c r="AW15" s="1">
        <v>35505</v>
      </c>
      <c r="AX15" s="1">
        <v>35913</v>
      </c>
      <c r="AY15" s="1">
        <v>43870</v>
      </c>
      <c r="AZ15" s="1">
        <v>45131</v>
      </c>
      <c r="BA15" s="1">
        <v>49604</v>
      </c>
      <c r="BB15" s="1">
        <v>53358</v>
      </c>
      <c r="BC15" s="1">
        <v>53552</v>
      </c>
      <c r="BD15" s="1">
        <v>53427</v>
      </c>
      <c r="BE15" s="1">
        <v>54545</v>
      </c>
      <c r="BF15" s="1">
        <v>58137</v>
      </c>
      <c r="BG15" s="1">
        <v>65523</v>
      </c>
      <c r="BH15" s="1">
        <v>70978</v>
      </c>
      <c r="BI15" s="1">
        <v>75710</v>
      </c>
      <c r="BJ15" s="1">
        <v>71926</v>
      </c>
      <c r="BK15" s="1">
        <v>74222</v>
      </c>
      <c r="BL15" s="1">
        <v>75983</v>
      </c>
      <c r="BM15" s="1">
        <v>84034</v>
      </c>
      <c r="BN15" s="1">
        <v>84144</v>
      </c>
      <c r="BO15" s="1">
        <v>89078</v>
      </c>
      <c r="BP15" s="1">
        <v>92799</v>
      </c>
      <c r="BQ15" s="1">
        <v>100619</v>
      </c>
      <c r="BR15" s="1">
        <v>99739</v>
      </c>
      <c r="BS15" s="1">
        <v>100033</v>
      </c>
      <c r="BT15" s="1">
        <v>103367</v>
      </c>
      <c r="BU15" s="1">
        <v>98943</v>
      </c>
      <c r="BV15" s="1">
        <v>111842</v>
      </c>
      <c r="BW15" s="1">
        <v>118032</v>
      </c>
      <c r="BX15" s="1">
        <v>122746</v>
      </c>
      <c r="BY15" s="1">
        <v>85888</v>
      </c>
      <c r="BZ15" s="1">
        <v>89161</v>
      </c>
      <c r="CA15" s="1">
        <v>95160</v>
      </c>
      <c r="CB15" s="1">
        <v>92689</v>
      </c>
      <c r="CC15" s="1">
        <v>101441</v>
      </c>
      <c r="CD15" s="1">
        <v>103943</v>
      </c>
      <c r="CE15" s="1">
        <v>110991</v>
      </c>
      <c r="CF15" s="1">
        <v>118711</v>
      </c>
      <c r="CG15" s="1">
        <v>125011</v>
      </c>
      <c r="CH15" s="1">
        <v>135058</v>
      </c>
      <c r="CI15" s="1">
        <v>133080</v>
      </c>
      <c r="CJ15" s="1">
        <v>140568</v>
      </c>
      <c r="CK15" s="1">
        <v>146138</v>
      </c>
      <c r="CL15" s="1">
        <v>152634</v>
      </c>
      <c r="CM15" s="1">
        <v>158649</v>
      </c>
      <c r="CN15" s="1">
        <v>162306</v>
      </c>
      <c r="CO15" s="1">
        <v>176681</v>
      </c>
      <c r="CP15" s="1">
        <v>174569</v>
      </c>
      <c r="CQ15" s="1">
        <v>176585</v>
      </c>
      <c r="CR15" s="1">
        <v>182506</v>
      </c>
      <c r="CS15" s="1">
        <v>190096</v>
      </c>
      <c r="CT15" s="1">
        <v>188246</v>
      </c>
      <c r="CU15" s="1">
        <v>204102</v>
      </c>
      <c r="CV15" s="1">
        <v>222511</v>
      </c>
      <c r="CW15" s="1">
        <v>230988</v>
      </c>
      <c r="CX15" s="1">
        <v>136198</v>
      </c>
      <c r="CY15" s="1">
        <v>143491</v>
      </c>
      <c r="CZ15" s="1">
        <v>150491</v>
      </c>
      <c r="DA15" s="1">
        <v>159283</v>
      </c>
      <c r="DB15" s="1">
        <v>162429</v>
      </c>
      <c r="DC15" s="1">
        <v>172580</v>
      </c>
      <c r="DD15" s="1">
        <v>180492</v>
      </c>
      <c r="DE15" s="1">
        <v>188862</v>
      </c>
      <c r="DF15" s="1">
        <v>197852</v>
      </c>
      <c r="DG15" s="1">
        <v>207588</v>
      </c>
      <c r="DH15" s="1">
        <v>210410</v>
      </c>
      <c r="DI15" s="1">
        <v>219689</v>
      </c>
      <c r="DJ15" s="1">
        <v>235318</v>
      </c>
      <c r="DK15" s="1">
        <v>244710</v>
      </c>
      <c r="DL15" s="1">
        <v>255984</v>
      </c>
      <c r="DM15" s="1">
        <v>266164</v>
      </c>
      <c r="DN15" s="1">
        <v>267578</v>
      </c>
      <c r="DO15" s="1">
        <v>269225</v>
      </c>
      <c r="DP15" s="1">
        <v>283545</v>
      </c>
      <c r="DQ15" s="1">
        <v>297677</v>
      </c>
      <c r="DR15" s="1">
        <v>312080</v>
      </c>
      <c r="DS15" s="1">
        <v>310976</v>
      </c>
      <c r="DT15" s="1">
        <v>335984</v>
      </c>
      <c r="DU15" s="1">
        <v>369564</v>
      </c>
      <c r="DV15" s="1">
        <v>400903</v>
      </c>
      <c r="DW15" s="1">
        <v>223509</v>
      </c>
      <c r="DX15" s="1">
        <v>251853</v>
      </c>
      <c r="DY15" s="1">
        <v>257241</v>
      </c>
      <c r="DZ15" s="1">
        <v>273814</v>
      </c>
      <c r="EA15" s="1">
        <v>284906</v>
      </c>
      <c r="EB15" s="1">
        <v>305675</v>
      </c>
      <c r="EC15" s="1">
        <v>323860</v>
      </c>
      <c r="ED15" s="1">
        <v>342088</v>
      </c>
      <c r="EE15" s="1">
        <v>363992</v>
      </c>
      <c r="EF15" s="1">
        <v>374057</v>
      </c>
      <c r="EG15" s="1">
        <v>371080</v>
      </c>
      <c r="EH15" s="1">
        <v>377674</v>
      </c>
      <c r="EI15" s="1">
        <v>397535</v>
      </c>
      <c r="EJ15" s="1">
        <v>411432</v>
      </c>
      <c r="EK15" s="1">
        <v>431286</v>
      </c>
      <c r="EL15" s="1">
        <v>450760</v>
      </c>
      <c r="EM15" s="1">
        <v>459717</v>
      </c>
      <c r="EN15" s="1">
        <v>451509</v>
      </c>
      <c r="EO15" s="1">
        <v>477507</v>
      </c>
      <c r="EP15" s="1">
        <v>509602</v>
      </c>
      <c r="EQ15" s="1">
        <v>529122</v>
      </c>
      <c r="ER15" s="1">
        <v>529692</v>
      </c>
      <c r="ES15" s="1">
        <v>576569</v>
      </c>
      <c r="ET15" s="1">
        <v>634044</v>
      </c>
      <c r="EU15" s="1">
        <v>672239</v>
      </c>
    </row>
    <row r="16" spans="1:151" x14ac:dyDescent="0.25">
      <c r="A16" t="s">
        <v>20</v>
      </c>
      <c r="B16" s="1">
        <v>97809</v>
      </c>
      <c r="C16" s="1">
        <v>102754</v>
      </c>
      <c r="D16" s="1">
        <v>107636</v>
      </c>
      <c r="E16" s="1">
        <v>111748</v>
      </c>
      <c r="F16" s="1">
        <v>116533</v>
      </c>
      <c r="G16" s="1">
        <v>122301</v>
      </c>
      <c r="H16" s="1">
        <v>125661</v>
      </c>
      <c r="I16" s="1">
        <v>131002</v>
      </c>
      <c r="J16" s="1">
        <v>138842</v>
      </c>
      <c r="K16" s="1">
        <v>143917</v>
      </c>
      <c r="L16" s="1">
        <v>144671</v>
      </c>
      <c r="M16" s="1">
        <v>151130</v>
      </c>
      <c r="N16" s="1">
        <v>157679</v>
      </c>
      <c r="O16" s="1">
        <v>162931</v>
      </c>
      <c r="P16" s="1">
        <v>167712</v>
      </c>
      <c r="Q16" s="1">
        <v>172078</v>
      </c>
      <c r="R16" s="1">
        <v>177994</v>
      </c>
      <c r="S16" s="1">
        <v>183581</v>
      </c>
      <c r="T16" s="1">
        <v>190323</v>
      </c>
      <c r="U16" s="1">
        <v>195618</v>
      </c>
      <c r="V16" s="1">
        <v>207999</v>
      </c>
      <c r="W16" s="1">
        <v>207305</v>
      </c>
      <c r="X16" s="1">
        <v>214041</v>
      </c>
      <c r="Y16" s="1">
        <v>235642</v>
      </c>
      <c r="Z16" s="1">
        <v>257594</v>
      </c>
      <c r="AA16" s="1">
        <v>5520</v>
      </c>
      <c r="AB16" s="1">
        <v>6167</v>
      </c>
      <c r="AC16" s="1">
        <v>5849</v>
      </c>
      <c r="AD16" s="1">
        <v>6579</v>
      </c>
      <c r="AE16" s="1">
        <v>7190</v>
      </c>
      <c r="AF16" s="1">
        <v>7127</v>
      </c>
      <c r="AG16" s="1">
        <v>7284</v>
      </c>
      <c r="AH16" s="1">
        <v>8876</v>
      </c>
      <c r="AI16" s="1">
        <v>8814</v>
      </c>
      <c r="AJ16" s="1">
        <v>8749</v>
      </c>
      <c r="AK16" s="1">
        <v>8983</v>
      </c>
      <c r="AL16" s="1">
        <v>9518</v>
      </c>
      <c r="AM16" s="1">
        <v>9281</v>
      </c>
      <c r="AN16" s="1">
        <v>9249</v>
      </c>
      <c r="AO16" s="1">
        <v>9266</v>
      </c>
      <c r="AP16" s="1">
        <v>10572</v>
      </c>
      <c r="AQ16" s="1">
        <v>9568</v>
      </c>
      <c r="AR16" s="1">
        <v>11416</v>
      </c>
      <c r="AS16" s="1">
        <v>12270</v>
      </c>
      <c r="AT16" s="1">
        <v>13427</v>
      </c>
      <c r="AU16" s="1">
        <v>14407</v>
      </c>
      <c r="AV16" s="1">
        <v>13969</v>
      </c>
      <c r="AW16" s="1">
        <v>14947</v>
      </c>
      <c r="AX16" s="1">
        <v>17023</v>
      </c>
      <c r="AY16" s="1">
        <v>18138</v>
      </c>
      <c r="AZ16" s="1">
        <v>11379</v>
      </c>
      <c r="BA16" s="1">
        <v>12020</v>
      </c>
      <c r="BB16" s="1">
        <v>12933</v>
      </c>
      <c r="BC16" s="1">
        <v>13207</v>
      </c>
      <c r="BD16" s="1">
        <v>13507</v>
      </c>
      <c r="BE16" s="1">
        <v>14171</v>
      </c>
      <c r="BF16" s="1">
        <v>14556</v>
      </c>
      <c r="BG16" s="1">
        <v>14720</v>
      </c>
      <c r="BH16" s="1">
        <v>17084</v>
      </c>
      <c r="BI16" s="1">
        <v>16044</v>
      </c>
      <c r="BJ16" s="1">
        <v>16790</v>
      </c>
      <c r="BK16" s="1">
        <v>19627</v>
      </c>
      <c r="BL16" s="1">
        <v>18861</v>
      </c>
      <c r="BM16" s="1">
        <v>20321</v>
      </c>
      <c r="BN16" s="1">
        <v>20541</v>
      </c>
      <c r="BO16" s="1">
        <v>22110</v>
      </c>
      <c r="BP16" s="1">
        <v>22750</v>
      </c>
      <c r="BQ16" s="1">
        <v>25027</v>
      </c>
      <c r="BR16" s="1">
        <v>26457</v>
      </c>
      <c r="BS16" s="1">
        <v>28089</v>
      </c>
      <c r="BT16" s="1">
        <v>29404</v>
      </c>
      <c r="BU16" s="1">
        <v>27352</v>
      </c>
      <c r="BV16" s="1">
        <v>28568</v>
      </c>
      <c r="BW16" s="1">
        <v>32859</v>
      </c>
      <c r="BX16" s="1">
        <v>35824</v>
      </c>
      <c r="BY16" s="1">
        <v>16043</v>
      </c>
      <c r="BZ16" s="1">
        <v>17238</v>
      </c>
      <c r="CA16" s="1">
        <v>16827</v>
      </c>
      <c r="CB16" s="1">
        <v>18749</v>
      </c>
      <c r="CC16" s="1">
        <v>18486</v>
      </c>
      <c r="CD16" s="1">
        <v>18446</v>
      </c>
      <c r="CE16" s="1">
        <v>18094</v>
      </c>
      <c r="CF16" s="1">
        <v>19477</v>
      </c>
      <c r="CG16" s="1">
        <v>20916</v>
      </c>
      <c r="CH16" s="1">
        <v>23023</v>
      </c>
      <c r="CI16" s="1">
        <v>22638</v>
      </c>
      <c r="CJ16" s="1">
        <v>23240</v>
      </c>
      <c r="CK16" s="1">
        <v>24680</v>
      </c>
      <c r="CL16" s="1">
        <v>27806</v>
      </c>
      <c r="CM16" s="1">
        <v>29007</v>
      </c>
      <c r="CN16" s="1">
        <v>31402</v>
      </c>
      <c r="CO16" s="1">
        <v>31981</v>
      </c>
      <c r="CP16" s="1">
        <v>31857</v>
      </c>
      <c r="CQ16" s="1">
        <v>33410</v>
      </c>
      <c r="CR16" s="1">
        <v>34104</v>
      </c>
      <c r="CS16" s="1">
        <v>36805</v>
      </c>
      <c r="CT16" s="1">
        <v>35580</v>
      </c>
      <c r="CU16" s="1">
        <v>37811</v>
      </c>
      <c r="CV16" s="1">
        <v>40568</v>
      </c>
      <c r="CW16" s="1">
        <v>45119</v>
      </c>
      <c r="CX16" s="1">
        <v>20655</v>
      </c>
      <c r="CY16" s="1">
        <v>22030</v>
      </c>
      <c r="CZ16" s="1">
        <v>22694</v>
      </c>
      <c r="DA16" s="1">
        <v>23602</v>
      </c>
      <c r="DB16" s="1">
        <v>22836</v>
      </c>
      <c r="DC16" s="1">
        <v>24012</v>
      </c>
      <c r="DD16" s="1">
        <v>25844</v>
      </c>
      <c r="DE16" s="1">
        <v>26013</v>
      </c>
      <c r="DF16" s="1">
        <v>28969</v>
      </c>
      <c r="DG16" s="1">
        <v>30871</v>
      </c>
      <c r="DH16" s="1">
        <v>30196</v>
      </c>
      <c r="DI16" s="1">
        <v>31497</v>
      </c>
      <c r="DJ16" s="1">
        <v>34620</v>
      </c>
      <c r="DK16" s="1">
        <v>36616</v>
      </c>
      <c r="DL16" s="1">
        <v>38909</v>
      </c>
      <c r="DM16" s="1">
        <v>38209</v>
      </c>
      <c r="DN16" s="1">
        <v>39976</v>
      </c>
      <c r="DO16" s="1">
        <v>41847</v>
      </c>
      <c r="DP16" s="1">
        <v>43449</v>
      </c>
      <c r="DQ16" s="1">
        <v>45322</v>
      </c>
      <c r="DR16" s="1">
        <v>47740</v>
      </c>
      <c r="DS16" s="1">
        <v>48450</v>
      </c>
      <c r="DT16" s="1">
        <v>48359</v>
      </c>
      <c r="DU16" s="1">
        <v>53114</v>
      </c>
      <c r="DV16" s="1">
        <v>58312</v>
      </c>
      <c r="DW16" s="1">
        <v>44212</v>
      </c>
      <c r="DX16" s="1">
        <v>45299</v>
      </c>
      <c r="DY16" s="1">
        <v>49333</v>
      </c>
      <c r="DZ16" s="1">
        <v>49611</v>
      </c>
      <c r="EA16" s="1">
        <v>54514</v>
      </c>
      <c r="EB16" s="1">
        <v>58545</v>
      </c>
      <c r="EC16" s="1">
        <v>59883</v>
      </c>
      <c r="ED16" s="1">
        <v>61916</v>
      </c>
      <c r="EE16" s="1">
        <v>63059</v>
      </c>
      <c r="EF16" s="1">
        <v>65230</v>
      </c>
      <c r="EG16" s="1">
        <v>66064</v>
      </c>
      <c r="EH16" s="1">
        <v>67248</v>
      </c>
      <c r="EI16" s="1">
        <v>70237</v>
      </c>
      <c r="EJ16" s="1">
        <v>68939</v>
      </c>
      <c r="EK16" s="1">
        <v>69989</v>
      </c>
      <c r="EL16" s="1">
        <v>69785</v>
      </c>
      <c r="EM16" s="1">
        <v>73719</v>
      </c>
      <c r="EN16" s="1">
        <v>73434</v>
      </c>
      <c r="EO16" s="1">
        <v>74737</v>
      </c>
      <c r="EP16" s="1">
        <v>74676</v>
      </c>
      <c r="EQ16" s="1">
        <v>79643</v>
      </c>
      <c r="ER16" s="1">
        <v>81954</v>
      </c>
      <c r="ES16" s="1">
        <v>84356</v>
      </c>
      <c r="ET16" s="1">
        <v>92078</v>
      </c>
      <c r="EU16" s="1">
        <v>100202</v>
      </c>
    </row>
    <row r="17" spans="1:151" x14ac:dyDescent="0.25">
      <c r="A17" t="s">
        <v>21</v>
      </c>
      <c r="B17" s="1">
        <v>111791</v>
      </c>
      <c r="C17" s="1">
        <v>117332</v>
      </c>
      <c r="D17" s="1">
        <v>116942</v>
      </c>
      <c r="E17" s="1">
        <v>109346</v>
      </c>
      <c r="F17" s="1">
        <v>108675</v>
      </c>
      <c r="G17" s="1">
        <v>113209</v>
      </c>
      <c r="H17" s="1">
        <v>122970</v>
      </c>
      <c r="I17" s="1">
        <v>137105</v>
      </c>
      <c r="J17" s="1">
        <v>153667</v>
      </c>
      <c r="K17" s="1">
        <v>160013</v>
      </c>
      <c r="L17" s="1">
        <v>152106</v>
      </c>
      <c r="M17" s="1">
        <v>152519</v>
      </c>
      <c r="N17" s="1">
        <v>162165</v>
      </c>
      <c r="O17" s="1">
        <v>170336</v>
      </c>
      <c r="P17" s="1">
        <v>175342</v>
      </c>
      <c r="Q17" s="1">
        <v>181876</v>
      </c>
      <c r="R17" s="1">
        <v>198218</v>
      </c>
      <c r="S17" s="1">
        <v>189502</v>
      </c>
      <c r="T17" s="1">
        <v>202189</v>
      </c>
      <c r="U17" s="1">
        <v>202278</v>
      </c>
      <c r="V17" s="1">
        <v>217587</v>
      </c>
      <c r="W17" s="1">
        <v>212698</v>
      </c>
      <c r="X17" s="1">
        <v>221163</v>
      </c>
      <c r="Y17" s="1">
        <v>244788</v>
      </c>
      <c r="Z17" s="1">
        <v>294027</v>
      </c>
      <c r="AA17" s="1">
        <v>3163</v>
      </c>
      <c r="AB17" s="1">
        <v>4381</v>
      </c>
      <c r="AC17" s="1">
        <v>3294</v>
      </c>
      <c r="AD17" s="1">
        <v>3448</v>
      </c>
      <c r="AE17" s="1">
        <v>2972</v>
      </c>
      <c r="AF17" s="1">
        <v>3245</v>
      </c>
      <c r="AG17" s="1">
        <v>3985</v>
      </c>
      <c r="AH17" s="1">
        <v>4103</v>
      </c>
      <c r="AI17" s="1">
        <v>4984</v>
      </c>
      <c r="AJ17" s="1">
        <v>4693</v>
      </c>
      <c r="AK17" s="1">
        <v>3943</v>
      </c>
      <c r="AL17" s="1">
        <v>3850</v>
      </c>
      <c r="AM17" s="1">
        <v>4448</v>
      </c>
      <c r="AN17" s="1">
        <v>4941</v>
      </c>
      <c r="AO17" s="1">
        <v>4739</v>
      </c>
      <c r="AP17" s="1">
        <v>4846</v>
      </c>
      <c r="AQ17" s="1">
        <v>4960</v>
      </c>
      <c r="AR17" s="1">
        <v>5292</v>
      </c>
      <c r="AS17" s="1">
        <v>5879</v>
      </c>
      <c r="AT17" s="1">
        <v>6346</v>
      </c>
      <c r="AU17" s="1">
        <v>6700</v>
      </c>
      <c r="AV17" s="1">
        <v>7183</v>
      </c>
      <c r="AW17" s="1">
        <v>7896</v>
      </c>
      <c r="AX17" s="1">
        <v>8066</v>
      </c>
      <c r="AY17" s="1">
        <v>10205</v>
      </c>
      <c r="AZ17" s="1">
        <v>7935</v>
      </c>
      <c r="BA17" s="1">
        <v>9168</v>
      </c>
      <c r="BB17" s="1">
        <v>7868</v>
      </c>
      <c r="BC17" s="1">
        <v>7592</v>
      </c>
      <c r="BD17" s="1">
        <v>7502</v>
      </c>
      <c r="BE17" s="1">
        <v>8047</v>
      </c>
      <c r="BF17" s="1">
        <v>8986</v>
      </c>
      <c r="BG17" s="1">
        <v>9404</v>
      </c>
      <c r="BH17" s="1">
        <v>10412</v>
      </c>
      <c r="BI17" s="1">
        <v>10216</v>
      </c>
      <c r="BJ17" s="1">
        <v>8779</v>
      </c>
      <c r="BK17" s="1">
        <v>8375</v>
      </c>
      <c r="BL17" s="1">
        <v>9819</v>
      </c>
      <c r="BM17" s="1">
        <v>10729</v>
      </c>
      <c r="BN17" s="1">
        <v>10153</v>
      </c>
      <c r="BO17" s="1">
        <v>11371</v>
      </c>
      <c r="BP17" s="1">
        <v>10886</v>
      </c>
      <c r="BQ17" s="1">
        <v>11042</v>
      </c>
      <c r="BR17" s="1">
        <v>11393</v>
      </c>
      <c r="BS17" s="1">
        <v>11666</v>
      </c>
      <c r="BT17" s="1">
        <v>12552</v>
      </c>
      <c r="BU17" s="1">
        <v>13139</v>
      </c>
      <c r="BV17" s="1">
        <v>13883</v>
      </c>
      <c r="BW17" s="1">
        <v>14933</v>
      </c>
      <c r="BX17" s="1">
        <v>16534</v>
      </c>
      <c r="BY17" s="1">
        <v>14843</v>
      </c>
      <c r="BZ17" s="1">
        <v>14781</v>
      </c>
      <c r="CA17" s="1">
        <v>15104</v>
      </c>
      <c r="CB17" s="1">
        <v>14125</v>
      </c>
      <c r="CC17" s="1">
        <v>14028</v>
      </c>
      <c r="CD17" s="1">
        <v>15088</v>
      </c>
      <c r="CE17" s="1">
        <v>15439</v>
      </c>
      <c r="CF17" s="1">
        <v>15937</v>
      </c>
      <c r="CG17" s="1">
        <v>16896</v>
      </c>
      <c r="CH17" s="1">
        <v>17465</v>
      </c>
      <c r="CI17" s="1">
        <v>16761</v>
      </c>
      <c r="CJ17" s="1">
        <v>16782</v>
      </c>
      <c r="CK17" s="1">
        <v>18386</v>
      </c>
      <c r="CL17" s="1">
        <v>18833</v>
      </c>
      <c r="CM17" s="1">
        <v>17691</v>
      </c>
      <c r="CN17" s="1">
        <v>19034</v>
      </c>
      <c r="CO17" s="1">
        <v>20223</v>
      </c>
      <c r="CP17" s="1">
        <v>20935</v>
      </c>
      <c r="CQ17" s="1">
        <v>21176</v>
      </c>
      <c r="CR17" s="1">
        <v>21891</v>
      </c>
      <c r="CS17" s="1">
        <v>22952</v>
      </c>
      <c r="CT17" s="1">
        <v>23328</v>
      </c>
      <c r="CU17" s="1">
        <v>24456</v>
      </c>
      <c r="CV17" s="1">
        <v>25996</v>
      </c>
      <c r="CW17" s="1">
        <v>28836</v>
      </c>
      <c r="CX17" s="1">
        <v>22973</v>
      </c>
      <c r="CY17" s="1">
        <v>22418</v>
      </c>
      <c r="CZ17" s="1">
        <v>23019</v>
      </c>
      <c r="DA17" s="1">
        <v>21089</v>
      </c>
      <c r="DB17" s="1">
        <v>21940</v>
      </c>
      <c r="DC17" s="1">
        <v>21379</v>
      </c>
      <c r="DD17" s="1">
        <v>23626</v>
      </c>
      <c r="DE17" s="1">
        <v>24637</v>
      </c>
      <c r="DF17" s="1">
        <v>27069</v>
      </c>
      <c r="DG17" s="1">
        <v>28270</v>
      </c>
      <c r="DH17" s="1">
        <v>27675</v>
      </c>
      <c r="DI17" s="1">
        <v>28518</v>
      </c>
      <c r="DJ17" s="1">
        <v>28510</v>
      </c>
      <c r="DK17" s="1">
        <v>30598</v>
      </c>
      <c r="DL17" s="1">
        <v>31055</v>
      </c>
      <c r="DM17" s="1">
        <v>32002</v>
      </c>
      <c r="DN17" s="1">
        <v>33797</v>
      </c>
      <c r="DO17" s="1">
        <v>33479</v>
      </c>
      <c r="DP17" s="1">
        <v>34224</v>
      </c>
      <c r="DQ17" s="1">
        <v>35476</v>
      </c>
      <c r="DR17" s="1">
        <v>37514</v>
      </c>
      <c r="DS17" s="1">
        <v>38264</v>
      </c>
      <c r="DT17" s="1">
        <v>38914</v>
      </c>
      <c r="DU17" s="1">
        <v>42496</v>
      </c>
      <c r="DV17" s="1">
        <v>48728</v>
      </c>
      <c r="DW17" s="1">
        <v>62877</v>
      </c>
      <c r="DX17" s="1">
        <v>66584</v>
      </c>
      <c r="DY17" s="1">
        <v>67657</v>
      </c>
      <c r="DZ17" s="1">
        <v>63092</v>
      </c>
      <c r="EA17" s="1">
        <v>62233</v>
      </c>
      <c r="EB17" s="1">
        <v>65450</v>
      </c>
      <c r="EC17" s="1">
        <v>70934</v>
      </c>
      <c r="ED17" s="1">
        <v>83024</v>
      </c>
      <c r="EE17" s="1">
        <v>94306</v>
      </c>
      <c r="EF17" s="1">
        <v>99369</v>
      </c>
      <c r="EG17" s="1">
        <v>94948</v>
      </c>
      <c r="EH17" s="1">
        <v>94994</v>
      </c>
      <c r="EI17" s="1">
        <v>101002</v>
      </c>
      <c r="EJ17" s="1">
        <v>105235</v>
      </c>
      <c r="EK17" s="1">
        <v>111704</v>
      </c>
      <c r="EL17" s="1">
        <v>114623</v>
      </c>
      <c r="EM17" s="1">
        <v>128352</v>
      </c>
      <c r="EN17" s="1">
        <v>118754</v>
      </c>
      <c r="EO17" s="1">
        <v>129517</v>
      </c>
      <c r="EP17" s="1">
        <v>126899</v>
      </c>
      <c r="EQ17" s="1">
        <v>137869</v>
      </c>
      <c r="ER17" s="1">
        <v>130784</v>
      </c>
      <c r="ES17" s="1">
        <v>136014</v>
      </c>
      <c r="ET17" s="1">
        <v>153297</v>
      </c>
      <c r="EU17" s="1">
        <v>189723</v>
      </c>
    </row>
    <row r="18" spans="1:151" x14ac:dyDescent="0.25">
      <c r="A18" t="s">
        <v>22</v>
      </c>
      <c r="B18" s="1">
        <v>36406</v>
      </c>
      <c r="C18" s="1">
        <v>41597</v>
      </c>
      <c r="D18" s="1">
        <v>41204</v>
      </c>
      <c r="E18" s="1">
        <v>37300</v>
      </c>
      <c r="F18" s="1">
        <v>39081</v>
      </c>
      <c r="G18" s="1">
        <v>40156</v>
      </c>
      <c r="H18" s="1">
        <v>43309</v>
      </c>
      <c r="I18" s="1">
        <v>52632</v>
      </c>
      <c r="J18" s="1">
        <v>61313</v>
      </c>
      <c r="K18" s="1">
        <v>63921</v>
      </c>
      <c r="L18" s="1">
        <v>55559</v>
      </c>
      <c r="M18" s="1">
        <v>54143</v>
      </c>
      <c r="N18" s="1">
        <v>54580</v>
      </c>
      <c r="O18" s="1">
        <v>55598</v>
      </c>
      <c r="P18" s="1">
        <v>56232</v>
      </c>
      <c r="Q18" s="1">
        <v>55857</v>
      </c>
      <c r="R18" s="1">
        <v>56033</v>
      </c>
      <c r="S18" s="1">
        <v>56405</v>
      </c>
      <c r="T18" s="1">
        <v>60186</v>
      </c>
      <c r="U18" s="1">
        <v>70213</v>
      </c>
      <c r="V18" s="1">
        <v>79808</v>
      </c>
      <c r="W18" s="1">
        <v>73097</v>
      </c>
      <c r="X18" s="1">
        <v>66808</v>
      </c>
      <c r="Y18" s="1">
        <v>84518</v>
      </c>
      <c r="Z18" s="1">
        <v>132778</v>
      </c>
      <c r="AA18" s="1">
        <v>3899</v>
      </c>
      <c r="AB18" s="1">
        <v>4766</v>
      </c>
      <c r="AC18" s="1">
        <v>4661</v>
      </c>
      <c r="AD18" s="1">
        <v>4255</v>
      </c>
      <c r="AE18" s="1">
        <v>4458</v>
      </c>
      <c r="AF18" s="1">
        <v>4705</v>
      </c>
      <c r="AG18" s="1">
        <v>5220</v>
      </c>
      <c r="AH18" s="1">
        <v>6892</v>
      </c>
      <c r="AI18" s="1">
        <v>7393</v>
      </c>
      <c r="AJ18" s="1">
        <v>7634</v>
      </c>
      <c r="AK18" s="1">
        <v>6505</v>
      </c>
      <c r="AL18" s="1">
        <v>6100</v>
      </c>
      <c r="AM18" s="1">
        <v>6583</v>
      </c>
      <c r="AN18" s="1">
        <v>7005</v>
      </c>
      <c r="AO18" s="1">
        <v>6954</v>
      </c>
      <c r="AP18" s="1">
        <v>6677</v>
      </c>
      <c r="AQ18" s="1">
        <v>6953</v>
      </c>
      <c r="AR18" s="1">
        <v>6906</v>
      </c>
      <c r="AS18" s="1">
        <v>7423</v>
      </c>
      <c r="AT18" s="1">
        <v>8919</v>
      </c>
      <c r="AU18" s="1">
        <v>10359</v>
      </c>
      <c r="AV18" s="1">
        <v>9515</v>
      </c>
      <c r="AW18" s="1">
        <v>8715</v>
      </c>
      <c r="AX18" s="1">
        <v>11673</v>
      </c>
      <c r="AY18" s="1">
        <v>19746</v>
      </c>
      <c r="AZ18" s="1">
        <v>5545</v>
      </c>
      <c r="BA18" s="1">
        <v>6362</v>
      </c>
      <c r="BB18" s="1">
        <v>6205</v>
      </c>
      <c r="BC18" s="1">
        <v>5650</v>
      </c>
      <c r="BD18" s="1">
        <v>5808</v>
      </c>
      <c r="BE18" s="1">
        <v>5949</v>
      </c>
      <c r="BF18" s="1">
        <v>6901</v>
      </c>
      <c r="BG18" s="1">
        <v>8280</v>
      </c>
      <c r="BH18" s="1">
        <v>9509</v>
      </c>
      <c r="BI18" s="1">
        <v>9885</v>
      </c>
      <c r="BJ18" s="1">
        <v>8128</v>
      </c>
      <c r="BK18" s="1">
        <v>8146</v>
      </c>
      <c r="BL18" s="1">
        <v>8294</v>
      </c>
      <c r="BM18" s="1">
        <v>8796</v>
      </c>
      <c r="BN18" s="1">
        <v>8898</v>
      </c>
      <c r="BO18" s="1">
        <v>8376</v>
      </c>
      <c r="BP18" s="1">
        <v>8578</v>
      </c>
      <c r="BQ18" s="1">
        <v>8982</v>
      </c>
      <c r="BR18" s="1">
        <v>9515</v>
      </c>
      <c r="BS18" s="1">
        <v>10961</v>
      </c>
      <c r="BT18" s="1">
        <v>12324</v>
      </c>
      <c r="BU18" s="1">
        <v>11750</v>
      </c>
      <c r="BV18" s="1">
        <v>10674</v>
      </c>
      <c r="BW18" s="1">
        <v>13468</v>
      </c>
      <c r="BX18" s="1">
        <v>20850</v>
      </c>
      <c r="BY18" s="1">
        <v>7058</v>
      </c>
      <c r="BZ18" s="1">
        <v>8048</v>
      </c>
      <c r="CA18" s="1">
        <v>7870</v>
      </c>
      <c r="CB18" s="1">
        <v>7005</v>
      </c>
      <c r="CC18" s="1">
        <v>7416</v>
      </c>
      <c r="CD18" s="1">
        <v>7615</v>
      </c>
      <c r="CE18" s="1">
        <v>8051</v>
      </c>
      <c r="CF18" s="1">
        <v>9803</v>
      </c>
      <c r="CG18" s="1">
        <v>11571</v>
      </c>
      <c r="CH18" s="1">
        <v>12215</v>
      </c>
      <c r="CI18" s="1">
        <v>10875</v>
      </c>
      <c r="CJ18" s="1">
        <v>10151</v>
      </c>
      <c r="CK18" s="1">
        <v>10522</v>
      </c>
      <c r="CL18" s="1">
        <v>10540</v>
      </c>
      <c r="CM18" s="1">
        <v>10649</v>
      </c>
      <c r="CN18" s="1">
        <v>10793</v>
      </c>
      <c r="CO18" s="1">
        <v>11082</v>
      </c>
      <c r="CP18" s="1">
        <v>10650</v>
      </c>
      <c r="CQ18" s="1">
        <v>11200</v>
      </c>
      <c r="CR18" s="1">
        <v>12927</v>
      </c>
      <c r="CS18" s="1">
        <v>14779</v>
      </c>
      <c r="CT18" s="1">
        <v>14072</v>
      </c>
      <c r="CU18" s="1">
        <v>13204</v>
      </c>
      <c r="CV18" s="1">
        <v>16436</v>
      </c>
      <c r="CW18" s="1">
        <v>24762</v>
      </c>
      <c r="CX18" s="1">
        <v>8780</v>
      </c>
      <c r="CY18" s="1">
        <v>10223</v>
      </c>
      <c r="CZ18" s="1">
        <v>10080</v>
      </c>
      <c r="DA18" s="1">
        <v>9196</v>
      </c>
      <c r="DB18" s="1">
        <v>9111</v>
      </c>
      <c r="DC18" s="1">
        <v>9459</v>
      </c>
      <c r="DD18" s="1">
        <v>10299</v>
      </c>
      <c r="DE18" s="1">
        <v>11754</v>
      </c>
      <c r="DF18" s="1">
        <v>14225</v>
      </c>
      <c r="DG18" s="1">
        <v>14568</v>
      </c>
      <c r="DH18" s="1">
        <v>13034</v>
      </c>
      <c r="DI18" s="1">
        <v>12986</v>
      </c>
      <c r="DJ18" s="1">
        <v>12949</v>
      </c>
      <c r="DK18" s="1">
        <v>13150</v>
      </c>
      <c r="DL18" s="1">
        <v>13370</v>
      </c>
      <c r="DM18" s="1">
        <v>13326</v>
      </c>
      <c r="DN18" s="1">
        <v>13220</v>
      </c>
      <c r="DO18" s="1">
        <v>13661</v>
      </c>
      <c r="DP18" s="1">
        <v>14563</v>
      </c>
      <c r="DQ18" s="1">
        <v>17027</v>
      </c>
      <c r="DR18" s="1">
        <v>19293</v>
      </c>
      <c r="DS18" s="1">
        <v>17371</v>
      </c>
      <c r="DT18" s="1">
        <v>15140</v>
      </c>
      <c r="DU18" s="1">
        <v>19284</v>
      </c>
      <c r="DV18" s="1">
        <v>30926</v>
      </c>
      <c r="DW18" s="1">
        <v>11124</v>
      </c>
      <c r="DX18" s="1">
        <v>12198</v>
      </c>
      <c r="DY18" s="1">
        <v>12388</v>
      </c>
      <c r="DZ18" s="1">
        <v>11194</v>
      </c>
      <c r="EA18" s="1">
        <v>12288</v>
      </c>
      <c r="EB18" s="1">
        <v>12428</v>
      </c>
      <c r="EC18" s="1">
        <v>12838</v>
      </c>
      <c r="ED18" s="1">
        <v>15903</v>
      </c>
      <c r="EE18" s="1">
        <v>18615</v>
      </c>
      <c r="EF18" s="1">
        <v>19619</v>
      </c>
      <c r="EG18" s="1">
        <v>17017</v>
      </c>
      <c r="EH18" s="1">
        <v>16760</v>
      </c>
      <c r="EI18" s="1">
        <v>16232</v>
      </c>
      <c r="EJ18" s="1">
        <v>16107</v>
      </c>
      <c r="EK18" s="1">
        <v>16361</v>
      </c>
      <c r="EL18" s="1">
        <v>16685</v>
      </c>
      <c r="EM18" s="1">
        <v>16200</v>
      </c>
      <c r="EN18" s="1">
        <v>16206</v>
      </c>
      <c r="EO18" s="1">
        <v>17485</v>
      </c>
      <c r="EP18" s="1">
        <v>20379</v>
      </c>
      <c r="EQ18" s="1">
        <v>23053</v>
      </c>
      <c r="ER18" s="1">
        <v>20389</v>
      </c>
      <c r="ES18" s="1">
        <v>19075</v>
      </c>
      <c r="ET18" s="1">
        <v>23657</v>
      </c>
      <c r="EU18" s="1">
        <v>36494</v>
      </c>
    </row>
    <row r="19" spans="1:151" x14ac:dyDescent="0.25">
      <c r="A19" t="s">
        <v>23</v>
      </c>
      <c r="B19" s="1">
        <v>129447</v>
      </c>
      <c r="C19" s="1">
        <v>131513</v>
      </c>
      <c r="D19" s="1">
        <v>145676</v>
      </c>
      <c r="E19" s="1">
        <v>147574</v>
      </c>
      <c r="F19" s="1">
        <v>153189</v>
      </c>
      <c r="G19" s="1">
        <v>160966</v>
      </c>
      <c r="H19" s="1">
        <v>165651</v>
      </c>
      <c r="I19" s="1">
        <v>182779</v>
      </c>
      <c r="J19" s="1">
        <v>194544</v>
      </c>
      <c r="K19" s="1">
        <v>204188</v>
      </c>
      <c r="L19" s="1">
        <v>218275</v>
      </c>
      <c r="M19" s="1">
        <v>232400</v>
      </c>
      <c r="N19" s="1">
        <v>236877</v>
      </c>
      <c r="O19" s="1">
        <v>246062</v>
      </c>
      <c r="P19" s="1">
        <v>258527</v>
      </c>
      <c r="Q19" s="1">
        <v>266153</v>
      </c>
      <c r="R19" s="1">
        <v>288200</v>
      </c>
      <c r="S19" s="1">
        <v>307078</v>
      </c>
      <c r="T19" s="1">
        <v>320918</v>
      </c>
      <c r="U19" s="1">
        <v>334066</v>
      </c>
      <c r="V19" s="1">
        <v>346107</v>
      </c>
      <c r="W19" s="1">
        <v>468952</v>
      </c>
      <c r="X19" s="1">
        <v>443036</v>
      </c>
      <c r="Y19" s="1">
        <v>422465</v>
      </c>
      <c r="Z19" s="1">
        <v>441837</v>
      </c>
      <c r="AA19" s="1">
        <v>23641</v>
      </c>
      <c r="AB19" s="1">
        <v>25979</v>
      </c>
      <c r="AC19" s="1">
        <v>27588</v>
      </c>
      <c r="AD19" s="1">
        <v>28524</v>
      </c>
      <c r="AE19" s="1">
        <v>29546</v>
      </c>
      <c r="AF19" s="1">
        <v>29690</v>
      </c>
      <c r="AG19" s="1">
        <v>31464</v>
      </c>
      <c r="AH19" s="1">
        <v>33257</v>
      </c>
      <c r="AI19" s="1">
        <v>36711</v>
      </c>
      <c r="AJ19" s="1">
        <v>37993</v>
      </c>
      <c r="AK19" s="1">
        <v>40689</v>
      </c>
      <c r="AL19" s="1">
        <v>42485</v>
      </c>
      <c r="AM19" s="1">
        <v>44660</v>
      </c>
      <c r="AN19" s="1">
        <v>45979</v>
      </c>
      <c r="AO19" s="1">
        <v>47254</v>
      </c>
      <c r="AP19" s="1">
        <v>48504</v>
      </c>
      <c r="AQ19" s="1">
        <v>49556</v>
      </c>
      <c r="AR19" s="1">
        <v>52356</v>
      </c>
      <c r="AS19" s="1">
        <v>55284</v>
      </c>
      <c r="AT19" s="1">
        <v>57915</v>
      </c>
      <c r="AU19" s="1">
        <v>60978</v>
      </c>
      <c r="AV19" s="1">
        <v>90336</v>
      </c>
      <c r="AW19" s="1">
        <v>80483</v>
      </c>
      <c r="AX19" s="1">
        <v>82817</v>
      </c>
      <c r="AY19" s="1">
        <v>86545</v>
      </c>
      <c r="AZ19" s="1">
        <v>30964</v>
      </c>
      <c r="BA19" s="1">
        <v>31712</v>
      </c>
      <c r="BB19" s="1">
        <v>34297</v>
      </c>
      <c r="BC19" s="1">
        <v>35833</v>
      </c>
      <c r="BD19" s="1">
        <v>37676</v>
      </c>
      <c r="BE19" s="1">
        <v>40166</v>
      </c>
      <c r="BF19" s="1">
        <v>42095</v>
      </c>
      <c r="BG19" s="1">
        <v>44252</v>
      </c>
      <c r="BH19" s="1">
        <v>46542</v>
      </c>
      <c r="BI19" s="1">
        <v>47966</v>
      </c>
      <c r="BJ19" s="1">
        <v>50199</v>
      </c>
      <c r="BK19" s="1">
        <v>52718</v>
      </c>
      <c r="BL19" s="1">
        <v>53590</v>
      </c>
      <c r="BM19" s="1">
        <v>56719</v>
      </c>
      <c r="BN19" s="1">
        <v>58321</v>
      </c>
      <c r="BO19" s="1">
        <v>59088</v>
      </c>
      <c r="BP19" s="1">
        <v>61644</v>
      </c>
      <c r="BQ19" s="1">
        <v>64641</v>
      </c>
      <c r="BR19" s="1">
        <v>68451</v>
      </c>
      <c r="BS19" s="1">
        <v>71893</v>
      </c>
      <c r="BT19" s="1">
        <v>75514</v>
      </c>
      <c r="BU19" s="1">
        <v>109816</v>
      </c>
      <c r="BV19" s="1">
        <v>98963</v>
      </c>
      <c r="BW19" s="1">
        <v>97436</v>
      </c>
      <c r="BX19" s="1">
        <v>102058</v>
      </c>
      <c r="BY19" s="1">
        <v>28305</v>
      </c>
      <c r="BZ19" s="1">
        <v>28850</v>
      </c>
      <c r="CA19" s="1">
        <v>31176</v>
      </c>
      <c r="CB19" s="1">
        <v>32474</v>
      </c>
      <c r="CC19" s="1">
        <v>33134</v>
      </c>
      <c r="CD19" s="1">
        <v>36703</v>
      </c>
      <c r="CE19" s="1">
        <v>37135</v>
      </c>
      <c r="CF19" s="1">
        <v>40277</v>
      </c>
      <c r="CG19" s="1">
        <v>40907</v>
      </c>
      <c r="CH19" s="1">
        <v>42070</v>
      </c>
      <c r="CI19" s="1">
        <v>45103</v>
      </c>
      <c r="CJ19" s="1">
        <v>48774</v>
      </c>
      <c r="CK19" s="1">
        <v>50263</v>
      </c>
      <c r="CL19" s="1">
        <v>50628</v>
      </c>
      <c r="CM19" s="1">
        <v>53532</v>
      </c>
      <c r="CN19" s="1">
        <v>54759</v>
      </c>
      <c r="CO19" s="1">
        <v>60771</v>
      </c>
      <c r="CP19" s="1">
        <v>67168</v>
      </c>
      <c r="CQ19" s="1">
        <v>70185</v>
      </c>
      <c r="CR19" s="1">
        <v>73260</v>
      </c>
      <c r="CS19" s="1">
        <v>76191</v>
      </c>
      <c r="CT19" s="1">
        <v>99499</v>
      </c>
      <c r="CU19" s="1">
        <v>93647</v>
      </c>
      <c r="CV19" s="1">
        <v>87696</v>
      </c>
      <c r="CW19" s="1">
        <v>93642</v>
      </c>
      <c r="CX19" s="1">
        <v>23863</v>
      </c>
      <c r="CY19" s="1">
        <v>23419</v>
      </c>
      <c r="CZ19" s="1">
        <v>27446</v>
      </c>
      <c r="DA19" s="1">
        <v>27034</v>
      </c>
      <c r="DB19" s="1">
        <v>28825</v>
      </c>
      <c r="DC19" s="1">
        <v>29009</v>
      </c>
      <c r="DD19" s="1">
        <v>29803</v>
      </c>
      <c r="DE19" s="1">
        <v>34135</v>
      </c>
      <c r="DF19" s="1">
        <v>37628</v>
      </c>
      <c r="DG19" s="1">
        <v>40683</v>
      </c>
      <c r="DH19" s="1">
        <v>42688</v>
      </c>
      <c r="DI19" s="1">
        <v>45911</v>
      </c>
      <c r="DJ19" s="1">
        <v>45575</v>
      </c>
      <c r="DK19" s="1">
        <v>45886</v>
      </c>
      <c r="DL19" s="1">
        <v>50151</v>
      </c>
      <c r="DM19" s="1">
        <v>52750</v>
      </c>
      <c r="DN19" s="1">
        <v>58934</v>
      </c>
      <c r="DO19" s="1">
        <v>61639</v>
      </c>
      <c r="DP19" s="1">
        <v>63859</v>
      </c>
      <c r="DQ19" s="1">
        <v>65921</v>
      </c>
      <c r="DR19" s="1">
        <v>67264</v>
      </c>
      <c r="DS19" s="1">
        <v>90394</v>
      </c>
      <c r="DT19" s="1">
        <v>89723</v>
      </c>
      <c r="DU19" s="1">
        <v>81094</v>
      </c>
      <c r="DV19" s="1">
        <v>81370</v>
      </c>
      <c r="DW19" s="1">
        <v>22674</v>
      </c>
      <c r="DX19" s="1">
        <v>21553</v>
      </c>
      <c r="DY19" s="1">
        <v>25169</v>
      </c>
      <c r="DZ19" s="1">
        <v>23709</v>
      </c>
      <c r="EA19" s="1">
        <v>24008</v>
      </c>
      <c r="EB19" s="1">
        <v>25398</v>
      </c>
      <c r="EC19" s="1">
        <v>25154</v>
      </c>
      <c r="ED19" s="1">
        <v>30858</v>
      </c>
      <c r="EE19" s="1">
        <v>32756</v>
      </c>
      <c r="EF19" s="1">
        <v>35476</v>
      </c>
      <c r="EG19" s="1">
        <v>39596</v>
      </c>
      <c r="EH19" s="1">
        <v>42512</v>
      </c>
      <c r="EI19" s="1">
        <v>42789</v>
      </c>
      <c r="EJ19" s="1">
        <v>46850</v>
      </c>
      <c r="EK19" s="1">
        <v>49269</v>
      </c>
      <c r="EL19" s="1">
        <v>51052</v>
      </c>
      <c r="EM19" s="1">
        <v>57295</v>
      </c>
      <c r="EN19" s="1">
        <v>61274</v>
      </c>
      <c r="EO19" s="1">
        <v>63139</v>
      </c>
      <c r="EP19" s="1">
        <v>65077</v>
      </c>
      <c r="EQ19" s="1">
        <v>66160</v>
      </c>
      <c r="ER19" s="1">
        <v>78907</v>
      </c>
      <c r="ES19" s="1">
        <v>80220</v>
      </c>
      <c r="ET19" s="1">
        <v>73422</v>
      </c>
      <c r="EU19" s="1">
        <v>78222</v>
      </c>
    </row>
    <row r="20" spans="1:151" x14ac:dyDescent="0.25">
      <c r="A20" t="s">
        <v>24</v>
      </c>
      <c r="B20" s="1">
        <v>263197</v>
      </c>
      <c r="C20" s="1">
        <v>281779</v>
      </c>
      <c r="D20" s="1">
        <v>288042</v>
      </c>
      <c r="E20" s="1">
        <v>285566</v>
      </c>
      <c r="F20" s="1">
        <v>296677</v>
      </c>
      <c r="G20" s="1">
        <v>317236</v>
      </c>
      <c r="H20" s="1">
        <v>342072</v>
      </c>
      <c r="I20" s="1">
        <v>361200</v>
      </c>
      <c r="J20" s="1">
        <v>391983</v>
      </c>
      <c r="K20" s="1">
        <v>399901</v>
      </c>
      <c r="L20" s="1">
        <v>385266</v>
      </c>
      <c r="M20" s="1">
        <v>389755</v>
      </c>
      <c r="N20" s="1">
        <v>421185</v>
      </c>
      <c r="O20" s="1">
        <v>443969</v>
      </c>
      <c r="P20" s="1">
        <v>457739</v>
      </c>
      <c r="Q20" s="1">
        <v>478843</v>
      </c>
      <c r="R20" s="1">
        <v>503246</v>
      </c>
      <c r="S20" s="1">
        <v>515135</v>
      </c>
      <c r="T20" s="1">
        <v>530401</v>
      </c>
      <c r="U20" s="1">
        <v>559134</v>
      </c>
      <c r="V20" s="1">
        <v>580120</v>
      </c>
      <c r="W20" s="1">
        <v>584041</v>
      </c>
      <c r="X20" s="1">
        <v>640062</v>
      </c>
      <c r="Y20" s="1">
        <v>684152</v>
      </c>
      <c r="Z20" s="1">
        <v>733473</v>
      </c>
      <c r="AA20" s="1">
        <v>10017</v>
      </c>
      <c r="AB20" s="1">
        <v>13654</v>
      </c>
      <c r="AC20" s="1">
        <v>10941</v>
      </c>
      <c r="AD20" s="1">
        <v>11688</v>
      </c>
      <c r="AE20" s="1">
        <v>11559</v>
      </c>
      <c r="AF20" s="1">
        <v>11918</v>
      </c>
      <c r="AG20" s="1">
        <v>14097</v>
      </c>
      <c r="AH20" s="1">
        <v>14146</v>
      </c>
      <c r="AI20" s="1">
        <v>16677</v>
      </c>
      <c r="AJ20" s="1">
        <v>16675</v>
      </c>
      <c r="AK20" s="1">
        <v>15633</v>
      </c>
      <c r="AL20" s="1">
        <v>15427</v>
      </c>
      <c r="AM20" s="1">
        <v>16938</v>
      </c>
      <c r="AN20" s="1">
        <v>16212</v>
      </c>
      <c r="AO20" s="1">
        <v>17921</v>
      </c>
      <c r="AP20" s="1">
        <v>17632</v>
      </c>
      <c r="AQ20" s="1">
        <v>18160</v>
      </c>
      <c r="AR20" s="1">
        <v>20450</v>
      </c>
      <c r="AS20" s="1">
        <v>22701</v>
      </c>
      <c r="AT20" s="1">
        <v>24652</v>
      </c>
      <c r="AU20" s="1">
        <v>25593</v>
      </c>
      <c r="AV20" s="1">
        <v>26254</v>
      </c>
      <c r="AW20" s="1">
        <v>28509</v>
      </c>
      <c r="AX20" s="1">
        <v>30127</v>
      </c>
      <c r="AY20" s="1">
        <v>34244</v>
      </c>
      <c r="AZ20" s="1">
        <v>21148</v>
      </c>
      <c r="BA20" s="1">
        <v>24480</v>
      </c>
      <c r="BB20" s="1">
        <v>23907</v>
      </c>
      <c r="BC20" s="1">
        <v>23557</v>
      </c>
      <c r="BD20" s="1">
        <v>23995</v>
      </c>
      <c r="BE20" s="1">
        <v>25604</v>
      </c>
      <c r="BF20" s="1">
        <v>27915</v>
      </c>
      <c r="BG20" s="1">
        <v>29983</v>
      </c>
      <c r="BH20" s="1">
        <v>33019</v>
      </c>
      <c r="BI20" s="1">
        <v>33280</v>
      </c>
      <c r="BJ20" s="1">
        <v>29723</v>
      </c>
      <c r="BK20" s="1">
        <v>30228</v>
      </c>
      <c r="BL20" s="1">
        <v>32077</v>
      </c>
      <c r="BM20" s="1">
        <v>37379</v>
      </c>
      <c r="BN20" s="1">
        <v>36037</v>
      </c>
      <c r="BO20" s="1">
        <v>39944</v>
      </c>
      <c r="BP20" s="1">
        <v>40632</v>
      </c>
      <c r="BQ20" s="1">
        <v>43636</v>
      </c>
      <c r="BR20" s="1">
        <v>43340</v>
      </c>
      <c r="BS20" s="1">
        <v>44148</v>
      </c>
      <c r="BT20" s="1">
        <v>46095</v>
      </c>
      <c r="BU20" s="1">
        <v>45046</v>
      </c>
      <c r="BV20" s="1">
        <v>53962</v>
      </c>
      <c r="BW20" s="1">
        <v>57133</v>
      </c>
      <c r="BX20" s="1">
        <v>59242</v>
      </c>
      <c r="BY20" s="1">
        <v>42133</v>
      </c>
      <c r="BZ20" s="1">
        <v>42842</v>
      </c>
      <c r="CA20" s="1">
        <v>45233</v>
      </c>
      <c r="CB20" s="1">
        <v>43112</v>
      </c>
      <c r="CC20" s="1">
        <v>46637</v>
      </c>
      <c r="CD20" s="1">
        <v>49811</v>
      </c>
      <c r="CE20" s="1">
        <v>52557</v>
      </c>
      <c r="CF20" s="1">
        <v>54837</v>
      </c>
      <c r="CG20" s="1">
        <v>56860</v>
      </c>
      <c r="CH20" s="1">
        <v>61021</v>
      </c>
      <c r="CI20" s="1">
        <v>58622</v>
      </c>
      <c r="CJ20" s="1">
        <v>60392</v>
      </c>
      <c r="CK20" s="1">
        <v>65570</v>
      </c>
      <c r="CL20" s="1">
        <v>70178</v>
      </c>
      <c r="CM20" s="1">
        <v>70632</v>
      </c>
      <c r="CN20" s="1">
        <v>73951</v>
      </c>
      <c r="CO20" s="1">
        <v>80398</v>
      </c>
      <c r="CP20" s="1">
        <v>82850</v>
      </c>
      <c r="CQ20" s="1">
        <v>82732</v>
      </c>
      <c r="CR20" s="1">
        <v>85288</v>
      </c>
      <c r="CS20" s="1">
        <v>88707</v>
      </c>
      <c r="CT20" s="1">
        <v>88696</v>
      </c>
      <c r="CU20" s="1">
        <v>99882</v>
      </c>
      <c r="CV20" s="1">
        <v>106505</v>
      </c>
      <c r="CW20" s="1">
        <v>111942</v>
      </c>
      <c r="CX20" s="1">
        <v>66998</v>
      </c>
      <c r="CY20" s="1">
        <v>68128</v>
      </c>
      <c r="CZ20" s="1">
        <v>71616</v>
      </c>
      <c r="DA20" s="1">
        <v>71333</v>
      </c>
      <c r="DB20" s="1">
        <v>74276</v>
      </c>
      <c r="DC20" s="1">
        <v>77807</v>
      </c>
      <c r="DD20" s="1">
        <v>83779</v>
      </c>
      <c r="DE20" s="1">
        <v>88027</v>
      </c>
      <c r="DF20" s="1">
        <v>94850</v>
      </c>
      <c r="DG20" s="1">
        <v>97675</v>
      </c>
      <c r="DH20" s="1">
        <v>96290</v>
      </c>
      <c r="DI20" s="1">
        <v>98130</v>
      </c>
      <c r="DJ20" s="1">
        <v>105954</v>
      </c>
      <c r="DK20" s="1">
        <v>112275</v>
      </c>
      <c r="DL20" s="1">
        <v>118888</v>
      </c>
      <c r="DM20" s="1">
        <v>122277</v>
      </c>
      <c r="DN20" s="1">
        <v>126100</v>
      </c>
      <c r="DO20" s="1">
        <v>130015</v>
      </c>
      <c r="DP20" s="1">
        <v>133124</v>
      </c>
      <c r="DQ20" s="1">
        <v>140867</v>
      </c>
      <c r="DR20" s="1">
        <v>146998</v>
      </c>
      <c r="DS20" s="1">
        <v>145250</v>
      </c>
      <c r="DT20" s="1">
        <v>152191</v>
      </c>
      <c r="DU20" s="1">
        <v>167123</v>
      </c>
      <c r="DV20" s="1">
        <v>179429</v>
      </c>
      <c r="DW20" s="1">
        <v>122901</v>
      </c>
      <c r="DX20" s="1">
        <v>132675</v>
      </c>
      <c r="DY20" s="1">
        <v>136345</v>
      </c>
      <c r="DZ20" s="1">
        <v>135876</v>
      </c>
      <c r="EA20" s="1">
        <v>140210</v>
      </c>
      <c r="EB20" s="1">
        <v>152096</v>
      </c>
      <c r="EC20" s="1">
        <v>163724</v>
      </c>
      <c r="ED20" s="1">
        <v>174207</v>
      </c>
      <c r="EE20" s="1">
        <v>190577</v>
      </c>
      <c r="EF20" s="1">
        <v>191250</v>
      </c>
      <c r="EG20" s="1">
        <v>184998</v>
      </c>
      <c r="EH20" s="1">
        <v>185578</v>
      </c>
      <c r="EI20" s="1">
        <v>200646</v>
      </c>
      <c r="EJ20" s="1">
        <v>207925</v>
      </c>
      <c r="EK20" s="1">
        <v>214261</v>
      </c>
      <c r="EL20" s="1">
        <v>225039</v>
      </c>
      <c r="EM20" s="1">
        <v>237956</v>
      </c>
      <c r="EN20" s="1">
        <v>238184</v>
      </c>
      <c r="EO20" s="1">
        <v>248504</v>
      </c>
      <c r="EP20" s="1">
        <v>264179</v>
      </c>
      <c r="EQ20" s="1">
        <v>272727</v>
      </c>
      <c r="ER20" s="1">
        <v>278795</v>
      </c>
      <c r="ES20" s="1">
        <v>305518</v>
      </c>
      <c r="ET20" s="1">
        <v>323264</v>
      </c>
      <c r="EU20" s="1">
        <v>348616</v>
      </c>
    </row>
    <row r="21" spans="1:151" x14ac:dyDescent="0.25">
      <c r="A21" t="s">
        <v>25</v>
      </c>
      <c r="B21" s="1">
        <v>553506</v>
      </c>
      <c r="C21" s="1">
        <v>589026</v>
      </c>
      <c r="D21" s="1">
        <v>615180</v>
      </c>
      <c r="E21" s="1">
        <v>651605</v>
      </c>
      <c r="F21" s="1">
        <v>681206</v>
      </c>
      <c r="G21" s="1">
        <v>712940</v>
      </c>
      <c r="H21" s="1">
        <v>752414</v>
      </c>
      <c r="I21" s="1">
        <v>793640</v>
      </c>
      <c r="J21" s="1">
        <v>842023</v>
      </c>
      <c r="K21" s="1">
        <v>878505</v>
      </c>
      <c r="L21" s="1">
        <v>881692</v>
      </c>
      <c r="M21" s="1">
        <v>926716</v>
      </c>
      <c r="N21" s="1">
        <v>967078</v>
      </c>
      <c r="O21" s="1">
        <v>998055</v>
      </c>
      <c r="P21" s="1">
        <v>1038084</v>
      </c>
      <c r="Q21" s="1">
        <v>1086255</v>
      </c>
      <c r="R21" s="1">
        <v>1122080</v>
      </c>
      <c r="S21" s="1">
        <v>1153666</v>
      </c>
      <c r="T21" s="1">
        <v>1209153</v>
      </c>
      <c r="U21" s="1">
        <v>1260445</v>
      </c>
      <c r="V21" s="1">
        <v>1300815</v>
      </c>
      <c r="W21" s="1">
        <v>1225995</v>
      </c>
      <c r="X21" s="1">
        <v>1327587</v>
      </c>
      <c r="Y21" s="1">
        <v>1473589</v>
      </c>
      <c r="Z21" s="1">
        <v>1553214</v>
      </c>
      <c r="AA21" s="1">
        <v>57126</v>
      </c>
      <c r="AB21" s="1">
        <v>62127</v>
      </c>
      <c r="AC21" s="1">
        <v>61497</v>
      </c>
      <c r="AD21" s="1">
        <v>67648</v>
      </c>
      <c r="AE21" s="1">
        <v>69743</v>
      </c>
      <c r="AF21" s="1">
        <v>76448</v>
      </c>
      <c r="AG21" s="1">
        <v>83690</v>
      </c>
      <c r="AH21" s="1">
        <v>94015</v>
      </c>
      <c r="AI21" s="1">
        <v>99896</v>
      </c>
      <c r="AJ21" s="1">
        <v>105814</v>
      </c>
      <c r="AK21" s="1">
        <v>105398</v>
      </c>
      <c r="AL21" s="1">
        <v>112283</v>
      </c>
      <c r="AM21" s="1">
        <v>114927</v>
      </c>
      <c r="AN21" s="1">
        <v>121217</v>
      </c>
      <c r="AO21" s="1">
        <v>128240</v>
      </c>
      <c r="AP21" s="1">
        <v>135163</v>
      </c>
      <c r="AQ21" s="1">
        <v>138251</v>
      </c>
      <c r="AR21" s="1">
        <v>143573</v>
      </c>
      <c r="AS21" s="1">
        <v>151236</v>
      </c>
      <c r="AT21" s="1">
        <v>159168</v>
      </c>
      <c r="AU21" s="1">
        <v>173945</v>
      </c>
      <c r="AV21" s="1">
        <v>158364</v>
      </c>
      <c r="AW21" s="1">
        <v>176971</v>
      </c>
      <c r="AX21" s="1">
        <v>195163</v>
      </c>
      <c r="AY21" s="1">
        <v>205427</v>
      </c>
      <c r="AZ21" s="1">
        <v>84504</v>
      </c>
      <c r="BA21" s="1">
        <v>87935</v>
      </c>
      <c r="BB21" s="1">
        <v>92400</v>
      </c>
      <c r="BC21" s="1">
        <v>98410</v>
      </c>
      <c r="BD21" s="1">
        <v>102693</v>
      </c>
      <c r="BE21" s="1">
        <v>108802</v>
      </c>
      <c r="BF21" s="1">
        <v>114037</v>
      </c>
      <c r="BG21" s="1">
        <v>120479</v>
      </c>
      <c r="BH21" s="1">
        <v>130346</v>
      </c>
      <c r="BI21" s="1">
        <v>137284</v>
      </c>
      <c r="BJ21" s="1">
        <v>136377</v>
      </c>
      <c r="BK21" s="1">
        <v>142689</v>
      </c>
      <c r="BL21" s="1">
        <v>148671</v>
      </c>
      <c r="BM21" s="1">
        <v>153368</v>
      </c>
      <c r="BN21" s="1">
        <v>156293</v>
      </c>
      <c r="BO21" s="1">
        <v>163383</v>
      </c>
      <c r="BP21" s="1">
        <v>170062</v>
      </c>
      <c r="BQ21" s="1">
        <v>174783</v>
      </c>
      <c r="BR21" s="1">
        <v>183228</v>
      </c>
      <c r="BS21" s="1">
        <v>194248</v>
      </c>
      <c r="BT21" s="1">
        <v>206202</v>
      </c>
      <c r="BU21" s="1">
        <v>194231</v>
      </c>
      <c r="BV21" s="1">
        <v>212641</v>
      </c>
      <c r="BW21" s="1">
        <v>234998</v>
      </c>
      <c r="BX21" s="1">
        <v>249018</v>
      </c>
      <c r="BY21" s="1">
        <v>106763</v>
      </c>
      <c r="BZ21" s="1">
        <v>111960</v>
      </c>
      <c r="CA21" s="1">
        <v>119570</v>
      </c>
      <c r="CB21" s="1">
        <v>124396</v>
      </c>
      <c r="CC21" s="1">
        <v>129371</v>
      </c>
      <c r="CD21" s="1">
        <v>133399</v>
      </c>
      <c r="CE21" s="1">
        <v>140516</v>
      </c>
      <c r="CF21" s="1">
        <v>147271</v>
      </c>
      <c r="CG21" s="1">
        <v>154601</v>
      </c>
      <c r="CH21" s="1">
        <v>160095</v>
      </c>
      <c r="CI21" s="1">
        <v>161369</v>
      </c>
      <c r="CJ21" s="1">
        <v>170930</v>
      </c>
      <c r="CK21" s="1">
        <v>179240</v>
      </c>
      <c r="CL21" s="1">
        <v>186347</v>
      </c>
      <c r="CM21" s="1">
        <v>192252</v>
      </c>
      <c r="CN21" s="1">
        <v>204423</v>
      </c>
      <c r="CO21" s="1">
        <v>209675</v>
      </c>
      <c r="CP21" s="1">
        <v>214098</v>
      </c>
      <c r="CQ21" s="1">
        <v>223446</v>
      </c>
      <c r="CR21" s="1">
        <v>236067</v>
      </c>
      <c r="CS21" s="1">
        <v>245864</v>
      </c>
      <c r="CT21" s="1">
        <v>235869</v>
      </c>
      <c r="CU21" s="1">
        <v>259157</v>
      </c>
      <c r="CV21" s="1">
        <v>288485</v>
      </c>
      <c r="CW21" s="1">
        <v>302551</v>
      </c>
      <c r="CX21" s="1">
        <v>126868</v>
      </c>
      <c r="CY21" s="1">
        <v>135270</v>
      </c>
      <c r="CZ21" s="1">
        <v>143166</v>
      </c>
      <c r="DA21" s="1">
        <v>149836</v>
      </c>
      <c r="DB21" s="1">
        <v>160063</v>
      </c>
      <c r="DC21" s="1">
        <v>160775</v>
      </c>
      <c r="DD21" s="1">
        <v>170497</v>
      </c>
      <c r="DE21" s="1">
        <v>178062</v>
      </c>
      <c r="DF21" s="1">
        <v>187486</v>
      </c>
      <c r="DG21" s="1">
        <v>197118</v>
      </c>
      <c r="DH21" s="1">
        <v>198531</v>
      </c>
      <c r="DI21" s="1">
        <v>208781</v>
      </c>
      <c r="DJ21" s="1">
        <v>221424</v>
      </c>
      <c r="DK21" s="1">
        <v>223892</v>
      </c>
      <c r="DL21" s="1">
        <v>236476</v>
      </c>
      <c r="DM21" s="1">
        <v>243854</v>
      </c>
      <c r="DN21" s="1">
        <v>252687</v>
      </c>
      <c r="DO21" s="1">
        <v>260229</v>
      </c>
      <c r="DP21" s="1">
        <v>272547</v>
      </c>
      <c r="DQ21" s="1">
        <v>281152</v>
      </c>
      <c r="DR21" s="1">
        <v>286822</v>
      </c>
      <c r="DS21" s="1">
        <v>272322</v>
      </c>
      <c r="DT21" s="1">
        <v>295376</v>
      </c>
      <c r="DU21" s="1">
        <v>324498</v>
      </c>
      <c r="DV21" s="1">
        <v>342006</v>
      </c>
      <c r="DW21" s="1">
        <v>178245</v>
      </c>
      <c r="DX21" s="1">
        <v>191734</v>
      </c>
      <c r="DY21" s="1">
        <v>198547</v>
      </c>
      <c r="DZ21" s="1">
        <v>211315</v>
      </c>
      <c r="EA21" s="1">
        <v>219336</v>
      </c>
      <c r="EB21" s="1">
        <v>233516</v>
      </c>
      <c r="EC21" s="1">
        <v>243674</v>
      </c>
      <c r="ED21" s="1">
        <v>253813</v>
      </c>
      <c r="EE21" s="1">
        <v>269694</v>
      </c>
      <c r="EF21" s="1">
        <v>278194</v>
      </c>
      <c r="EG21" s="1">
        <v>280017</v>
      </c>
      <c r="EH21" s="1">
        <v>292033</v>
      </c>
      <c r="EI21" s="1">
        <v>302816</v>
      </c>
      <c r="EJ21" s="1">
        <v>313231</v>
      </c>
      <c r="EK21" s="1">
        <v>324823</v>
      </c>
      <c r="EL21" s="1">
        <v>339432</v>
      </c>
      <c r="EM21" s="1">
        <v>351405</v>
      </c>
      <c r="EN21" s="1">
        <v>360983</v>
      </c>
      <c r="EO21" s="1">
        <v>378696</v>
      </c>
      <c r="EP21" s="1">
        <v>389810</v>
      </c>
      <c r="EQ21" s="1">
        <v>387982</v>
      </c>
      <c r="ER21" s="1">
        <v>365209</v>
      </c>
      <c r="ES21" s="1">
        <v>383442</v>
      </c>
      <c r="ET21" s="1">
        <v>430445</v>
      </c>
      <c r="EU21" s="1">
        <v>454212</v>
      </c>
    </row>
    <row r="22" spans="1:151" x14ac:dyDescent="0.25">
      <c r="A22" t="s">
        <v>26</v>
      </c>
      <c r="B22" s="1">
        <v>53875</v>
      </c>
      <c r="C22" s="1">
        <v>56454</v>
      </c>
      <c r="D22" s="1">
        <v>59698</v>
      </c>
      <c r="E22" s="1">
        <v>62227</v>
      </c>
      <c r="F22" s="1">
        <v>64646</v>
      </c>
      <c r="G22" s="1">
        <v>67044</v>
      </c>
      <c r="H22" s="1">
        <v>69305</v>
      </c>
      <c r="I22" s="1">
        <v>72227</v>
      </c>
      <c r="J22" s="1">
        <v>75314</v>
      </c>
      <c r="K22" s="1">
        <v>79394</v>
      </c>
      <c r="L22" s="1">
        <v>84166</v>
      </c>
      <c r="M22" s="1">
        <v>86223</v>
      </c>
      <c r="N22" s="1">
        <v>89033</v>
      </c>
      <c r="O22" s="1">
        <v>91619</v>
      </c>
      <c r="P22" s="1">
        <v>94538</v>
      </c>
      <c r="Q22" s="1">
        <v>98670</v>
      </c>
      <c r="R22" s="1">
        <v>102658</v>
      </c>
      <c r="S22" s="1">
        <v>105137</v>
      </c>
      <c r="T22" s="1">
        <v>109628</v>
      </c>
      <c r="U22" s="1">
        <v>111574</v>
      </c>
      <c r="V22" s="1">
        <v>115896</v>
      </c>
      <c r="W22" s="1">
        <v>127336</v>
      </c>
      <c r="X22" s="1">
        <v>129048</v>
      </c>
      <c r="Y22" s="1">
        <v>137650</v>
      </c>
      <c r="Z22" s="1">
        <v>147899</v>
      </c>
      <c r="AA22" s="1">
        <v>7821</v>
      </c>
      <c r="AB22" s="1">
        <v>8077</v>
      </c>
      <c r="AC22" s="1">
        <v>8310</v>
      </c>
      <c r="AD22" s="1">
        <v>8928</v>
      </c>
      <c r="AE22" s="1">
        <v>9095</v>
      </c>
      <c r="AF22" s="1">
        <v>9725</v>
      </c>
      <c r="AG22" s="1">
        <v>10157</v>
      </c>
      <c r="AH22" s="1">
        <v>11250</v>
      </c>
      <c r="AI22" s="1">
        <v>11388</v>
      </c>
      <c r="AJ22" s="1">
        <v>12294</v>
      </c>
      <c r="AK22" s="1">
        <v>12831</v>
      </c>
      <c r="AL22" s="1">
        <v>13105</v>
      </c>
      <c r="AM22" s="1">
        <v>13290</v>
      </c>
      <c r="AN22" s="1">
        <v>13973</v>
      </c>
      <c r="AO22" s="1">
        <v>14527</v>
      </c>
      <c r="AP22" s="1">
        <v>14838</v>
      </c>
      <c r="AQ22" s="1">
        <v>15560</v>
      </c>
      <c r="AR22" s="1">
        <v>16409</v>
      </c>
      <c r="AS22" s="1">
        <v>16987</v>
      </c>
      <c r="AT22" s="1">
        <v>17308</v>
      </c>
      <c r="AU22" s="1">
        <v>18385</v>
      </c>
      <c r="AV22" s="1">
        <v>19849</v>
      </c>
      <c r="AW22" s="1">
        <v>19792</v>
      </c>
      <c r="AX22" s="1">
        <v>21207</v>
      </c>
      <c r="AY22" s="1">
        <v>22793</v>
      </c>
      <c r="AZ22" s="1">
        <v>10028</v>
      </c>
      <c r="BA22" s="1">
        <v>10375</v>
      </c>
      <c r="BB22" s="1">
        <v>11147</v>
      </c>
      <c r="BC22" s="1">
        <v>11410</v>
      </c>
      <c r="BD22" s="1">
        <v>12073</v>
      </c>
      <c r="BE22" s="1">
        <v>12445</v>
      </c>
      <c r="BF22" s="1">
        <v>12832</v>
      </c>
      <c r="BG22" s="1">
        <v>13259</v>
      </c>
      <c r="BH22" s="1">
        <v>14026</v>
      </c>
      <c r="BI22" s="1">
        <v>14579</v>
      </c>
      <c r="BJ22" s="1">
        <v>15568</v>
      </c>
      <c r="BK22" s="1">
        <v>15792</v>
      </c>
      <c r="BL22" s="1">
        <v>16353</v>
      </c>
      <c r="BM22" s="1">
        <v>16617</v>
      </c>
      <c r="BN22" s="1">
        <v>16709</v>
      </c>
      <c r="BO22" s="1">
        <v>17295</v>
      </c>
      <c r="BP22" s="1">
        <v>17813</v>
      </c>
      <c r="BQ22" s="1">
        <v>18467</v>
      </c>
      <c r="BR22" s="1">
        <v>19198</v>
      </c>
      <c r="BS22" s="1">
        <v>19732</v>
      </c>
      <c r="BT22" s="1">
        <v>21185</v>
      </c>
      <c r="BU22" s="1">
        <v>23439</v>
      </c>
      <c r="BV22" s="1">
        <v>23871</v>
      </c>
      <c r="BW22" s="1">
        <v>25615</v>
      </c>
      <c r="BX22" s="1">
        <v>27421</v>
      </c>
      <c r="BY22" s="1">
        <v>11176</v>
      </c>
      <c r="BZ22" s="1">
        <v>11540</v>
      </c>
      <c r="CA22" s="1">
        <v>12269</v>
      </c>
      <c r="CB22" s="1">
        <v>12639</v>
      </c>
      <c r="CC22" s="1">
        <v>13115</v>
      </c>
      <c r="CD22" s="1">
        <v>13902</v>
      </c>
      <c r="CE22" s="1">
        <v>14182</v>
      </c>
      <c r="CF22" s="1">
        <v>14514</v>
      </c>
      <c r="CG22" s="1">
        <v>14980</v>
      </c>
      <c r="CH22" s="1">
        <v>15532</v>
      </c>
      <c r="CI22" s="1">
        <v>16701</v>
      </c>
      <c r="CJ22" s="1">
        <v>17026</v>
      </c>
      <c r="CK22" s="1">
        <v>17167</v>
      </c>
      <c r="CL22" s="1">
        <v>18117</v>
      </c>
      <c r="CM22" s="1">
        <v>18796</v>
      </c>
      <c r="CN22" s="1">
        <v>20481</v>
      </c>
      <c r="CO22" s="1">
        <v>21304</v>
      </c>
      <c r="CP22" s="1">
        <v>21382</v>
      </c>
      <c r="CQ22" s="1">
        <v>22683</v>
      </c>
      <c r="CR22" s="1">
        <v>23030</v>
      </c>
      <c r="CS22" s="1">
        <v>23880</v>
      </c>
      <c r="CT22" s="1">
        <v>26461</v>
      </c>
      <c r="CU22" s="1">
        <v>27366</v>
      </c>
      <c r="CV22" s="1">
        <v>29019</v>
      </c>
      <c r="CW22" s="1">
        <v>31258</v>
      </c>
      <c r="CX22" s="1">
        <v>11422</v>
      </c>
      <c r="CY22" s="1">
        <v>12205</v>
      </c>
      <c r="CZ22" s="1">
        <v>13011</v>
      </c>
      <c r="DA22" s="1">
        <v>13443</v>
      </c>
      <c r="DB22" s="1">
        <v>14454</v>
      </c>
      <c r="DC22" s="1">
        <v>14605</v>
      </c>
      <c r="DD22" s="1">
        <v>15560</v>
      </c>
      <c r="DE22" s="1">
        <v>16008</v>
      </c>
      <c r="DF22" s="1">
        <v>16635</v>
      </c>
      <c r="DG22" s="1">
        <v>17590</v>
      </c>
      <c r="DH22" s="1">
        <v>18580</v>
      </c>
      <c r="DI22" s="1">
        <v>19142</v>
      </c>
      <c r="DJ22" s="1">
        <v>20001</v>
      </c>
      <c r="DK22" s="1">
        <v>20066</v>
      </c>
      <c r="DL22" s="1">
        <v>21143</v>
      </c>
      <c r="DM22" s="1">
        <v>21882</v>
      </c>
      <c r="DN22" s="1">
        <v>22936</v>
      </c>
      <c r="DO22" s="1">
        <v>23393</v>
      </c>
      <c r="DP22" s="1">
        <v>24279</v>
      </c>
      <c r="DQ22" s="1">
        <v>24569</v>
      </c>
      <c r="DR22" s="1">
        <v>25506</v>
      </c>
      <c r="DS22" s="1">
        <v>28180</v>
      </c>
      <c r="DT22" s="1">
        <v>29645</v>
      </c>
      <c r="DU22" s="1">
        <v>31495</v>
      </c>
      <c r="DV22" s="1">
        <v>33825</v>
      </c>
      <c r="DW22" s="1">
        <v>13428</v>
      </c>
      <c r="DX22" s="1">
        <v>14257</v>
      </c>
      <c r="DY22" s="1">
        <v>14961</v>
      </c>
      <c r="DZ22" s="1">
        <v>15807</v>
      </c>
      <c r="EA22" s="1">
        <v>15909</v>
      </c>
      <c r="EB22" s="1">
        <v>16367</v>
      </c>
      <c r="EC22" s="1">
        <v>16574</v>
      </c>
      <c r="ED22" s="1">
        <v>17196</v>
      </c>
      <c r="EE22" s="1">
        <v>18285</v>
      </c>
      <c r="EF22" s="1">
        <v>19399</v>
      </c>
      <c r="EG22" s="1">
        <v>20486</v>
      </c>
      <c r="EH22" s="1">
        <v>21158</v>
      </c>
      <c r="EI22" s="1">
        <v>22222</v>
      </c>
      <c r="EJ22" s="1">
        <v>22846</v>
      </c>
      <c r="EK22" s="1">
        <v>23363</v>
      </c>
      <c r="EL22" s="1">
        <v>24174</v>
      </c>
      <c r="EM22" s="1">
        <v>25045</v>
      </c>
      <c r="EN22" s="1">
        <v>25486</v>
      </c>
      <c r="EO22" s="1">
        <v>26481</v>
      </c>
      <c r="EP22" s="1">
        <v>26935</v>
      </c>
      <c r="EQ22" s="1">
        <v>26940</v>
      </c>
      <c r="ER22" s="1">
        <v>29407</v>
      </c>
      <c r="ES22" s="1">
        <v>28374</v>
      </c>
      <c r="ET22" s="1">
        <v>30314</v>
      </c>
      <c r="EU22" s="1">
        <v>32601</v>
      </c>
    </row>
    <row r="23" spans="1:151" x14ac:dyDescent="0.25">
      <c r="A23" t="s">
        <v>27</v>
      </c>
      <c r="B23" s="1">
        <v>24905</v>
      </c>
      <c r="C23" s="1">
        <v>25900</v>
      </c>
      <c r="D23" s="1">
        <v>27713</v>
      </c>
      <c r="E23" s="1">
        <v>31002</v>
      </c>
      <c r="F23" s="1">
        <v>33087</v>
      </c>
      <c r="G23" s="1">
        <v>34003</v>
      </c>
      <c r="H23" s="1">
        <v>34130</v>
      </c>
      <c r="I23" s="1">
        <v>34294</v>
      </c>
      <c r="J23" s="1">
        <v>34907</v>
      </c>
      <c r="K23" s="1">
        <v>35605</v>
      </c>
      <c r="L23" s="1">
        <v>36033</v>
      </c>
      <c r="M23" s="1">
        <v>37477</v>
      </c>
      <c r="N23" s="1">
        <v>38506</v>
      </c>
      <c r="O23" s="1">
        <v>39828</v>
      </c>
      <c r="P23" s="1">
        <v>40679</v>
      </c>
      <c r="Q23" s="1">
        <v>42050</v>
      </c>
      <c r="R23" s="1">
        <v>43354</v>
      </c>
      <c r="S23" s="1">
        <v>44523</v>
      </c>
      <c r="T23" s="1">
        <v>45376</v>
      </c>
      <c r="U23" s="1">
        <v>48672</v>
      </c>
      <c r="V23" s="1">
        <v>48584</v>
      </c>
      <c r="W23" s="1">
        <v>51182</v>
      </c>
      <c r="X23" s="1">
        <v>51273</v>
      </c>
      <c r="Y23" s="1">
        <v>51275</v>
      </c>
      <c r="Z23" s="1">
        <v>50575</v>
      </c>
      <c r="AA23" s="1">
        <v>2827</v>
      </c>
      <c r="AB23" s="1">
        <v>2953</v>
      </c>
      <c r="AC23" s="1">
        <v>3018</v>
      </c>
      <c r="AD23" s="1">
        <v>3390</v>
      </c>
      <c r="AE23" s="1">
        <v>3891</v>
      </c>
      <c r="AF23" s="1">
        <v>4054</v>
      </c>
      <c r="AG23" s="1">
        <v>4177</v>
      </c>
      <c r="AH23" s="1">
        <v>4464</v>
      </c>
      <c r="AI23" s="1">
        <v>4639</v>
      </c>
      <c r="AJ23" s="1">
        <v>4736</v>
      </c>
      <c r="AK23" s="1">
        <v>4790</v>
      </c>
      <c r="AL23" s="1">
        <v>4897</v>
      </c>
      <c r="AM23" s="1">
        <v>4695</v>
      </c>
      <c r="AN23" s="1">
        <v>4851</v>
      </c>
      <c r="AO23" s="1">
        <v>4919</v>
      </c>
      <c r="AP23" s="1">
        <v>5459</v>
      </c>
      <c r="AQ23" s="1">
        <v>5889</v>
      </c>
      <c r="AR23" s="1">
        <v>6165</v>
      </c>
      <c r="AS23" s="1">
        <v>6202</v>
      </c>
      <c r="AT23" s="1">
        <v>6723</v>
      </c>
      <c r="AU23" s="1">
        <v>6557</v>
      </c>
      <c r="AV23" s="1">
        <v>7091</v>
      </c>
      <c r="AW23" s="1">
        <v>7021</v>
      </c>
      <c r="AX23" s="1">
        <v>7046</v>
      </c>
      <c r="AY23" s="1">
        <v>6999</v>
      </c>
      <c r="AZ23" s="1">
        <v>4270</v>
      </c>
      <c r="BA23" s="1">
        <v>4474</v>
      </c>
      <c r="BB23" s="1">
        <v>4676</v>
      </c>
      <c r="BC23" s="1">
        <v>5264</v>
      </c>
      <c r="BD23" s="1">
        <v>5555</v>
      </c>
      <c r="BE23" s="1">
        <v>5963</v>
      </c>
      <c r="BF23" s="1">
        <v>5825</v>
      </c>
      <c r="BG23" s="1">
        <v>5680</v>
      </c>
      <c r="BH23" s="1">
        <v>5884</v>
      </c>
      <c r="BI23" s="1">
        <v>5865</v>
      </c>
      <c r="BJ23" s="1">
        <v>6018</v>
      </c>
      <c r="BK23" s="1">
        <v>6275</v>
      </c>
      <c r="BL23" s="1">
        <v>6434</v>
      </c>
      <c r="BM23" s="1">
        <v>6986</v>
      </c>
      <c r="BN23" s="1">
        <v>6832</v>
      </c>
      <c r="BO23" s="1">
        <v>7396</v>
      </c>
      <c r="BP23" s="1">
        <v>7401</v>
      </c>
      <c r="BQ23" s="1">
        <v>7324</v>
      </c>
      <c r="BR23" s="1">
        <v>7521</v>
      </c>
      <c r="BS23" s="1">
        <v>8196</v>
      </c>
      <c r="BT23" s="1">
        <v>8990</v>
      </c>
      <c r="BU23" s="1">
        <v>8260</v>
      </c>
      <c r="BV23" s="1">
        <v>8209</v>
      </c>
      <c r="BW23" s="1">
        <v>8608</v>
      </c>
      <c r="BX23" s="1">
        <v>8452</v>
      </c>
      <c r="BY23" s="1">
        <v>5195</v>
      </c>
      <c r="BZ23" s="1">
        <v>5309</v>
      </c>
      <c r="CA23" s="1">
        <v>5855</v>
      </c>
      <c r="CB23" s="1">
        <v>6570</v>
      </c>
      <c r="CC23" s="1">
        <v>6953</v>
      </c>
      <c r="CD23" s="1">
        <v>7007</v>
      </c>
      <c r="CE23" s="1">
        <v>6903</v>
      </c>
      <c r="CF23" s="1">
        <v>7038</v>
      </c>
      <c r="CG23" s="1">
        <v>7091</v>
      </c>
      <c r="CH23" s="1">
        <v>7365</v>
      </c>
      <c r="CI23" s="1">
        <v>7174</v>
      </c>
      <c r="CJ23" s="1">
        <v>7503</v>
      </c>
      <c r="CK23" s="1">
        <v>7517</v>
      </c>
      <c r="CL23" s="1">
        <v>7772</v>
      </c>
      <c r="CM23" s="1">
        <v>8023</v>
      </c>
      <c r="CN23" s="1">
        <v>8391</v>
      </c>
      <c r="CO23" s="1">
        <v>8314</v>
      </c>
      <c r="CP23" s="1">
        <v>8539</v>
      </c>
      <c r="CQ23" s="1">
        <v>8900</v>
      </c>
      <c r="CR23" s="1">
        <v>9824</v>
      </c>
      <c r="CS23" s="1">
        <v>9019</v>
      </c>
      <c r="CT23" s="1">
        <v>10944</v>
      </c>
      <c r="CU23" s="1">
        <v>11463</v>
      </c>
      <c r="CV23" s="1">
        <v>11007</v>
      </c>
      <c r="CW23" s="1">
        <v>10857</v>
      </c>
      <c r="CX23" s="1">
        <v>5729</v>
      </c>
      <c r="CY23" s="1">
        <v>5963</v>
      </c>
      <c r="CZ23" s="1">
        <v>6470</v>
      </c>
      <c r="DA23" s="1">
        <v>7106</v>
      </c>
      <c r="DB23" s="1">
        <v>7534</v>
      </c>
      <c r="DC23" s="1">
        <v>7660</v>
      </c>
      <c r="DD23" s="1">
        <v>7682</v>
      </c>
      <c r="DE23" s="1">
        <v>7661</v>
      </c>
      <c r="DF23" s="1">
        <v>7923</v>
      </c>
      <c r="DG23" s="1">
        <v>8049</v>
      </c>
      <c r="DH23" s="1">
        <v>8269</v>
      </c>
      <c r="DI23" s="1">
        <v>8428</v>
      </c>
      <c r="DJ23" s="1">
        <v>8883</v>
      </c>
      <c r="DK23" s="1">
        <v>8621</v>
      </c>
      <c r="DL23" s="1">
        <v>8996</v>
      </c>
      <c r="DM23" s="1">
        <v>9274</v>
      </c>
      <c r="DN23" s="1">
        <v>9930</v>
      </c>
      <c r="DO23" s="1">
        <v>10074</v>
      </c>
      <c r="DP23" s="1">
        <v>10134</v>
      </c>
      <c r="DQ23" s="1">
        <v>10774</v>
      </c>
      <c r="DR23" s="1">
        <v>10967</v>
      </c>
      <c r="DS23" s="1">
        <v>11571</v>
      </c>
      <c r="DT23" s="1">
        <v>11653</v>
      </c>
      <c r="DU23" s="1">
        <v>11786</v>
      </c>
      <c r="DV23" s="1">
        <v>11660</v>
      </c>
      <c r="DW23" s="1">
        <v>6884</v>
      </c>
      <c r="DX23" s="1">
        <v>7201</v>
      </c>
      <c r="DY23" s="1">
        <v>7694</v>
      </c>
      <c r="DZ23" s="1">
        <v>8672</v>
      </c>
      <c r="EA23" s="1">
        <v>9154</v>
      </c>
      <c r="EB23" s="1">
        <v>9319</v>
      </c>
      <c r="EC23" s="1">
        <v>9543</v>
      </c>
      <c r="ED23" s="1">
        <v>9451</v>
      </c>
      <c r="EE23" s="1">
        <v>9370</v>
      </c>
      <c r="EF23" s="1">
        <v>9590</v>
      </c>
      <c r="EG23" s="1">
        <v>9782</v>
      </c>
      <c r="EH23" s="1">
        <v>10374</v>
      </c>
      <c r="EI23" s="1">
        <v>10977</v>
      </c>
      <c r="EJ23" s="1">
        <v>11598</v>
      </c>
      <c r="EK23" s="1">
        <v>11909</v>
      </c>
      <c r="EL23" s="1">
        <v>11530</v>
      </c>
      <c r="EM23" s="1">
        <v>11820</v>
      </c>
      <c r="EN23" s="1">
        <v>12421</v>
      </c>
      <c r="EO23" s="1">
        <v>12619</v>
      </c>
      <c r="EP23" s="1">
        <v>13155</v>
      </c>
      <c r="EQ23" s="1">
        <v>13051</v>
      </c>
      <c r="ER23" s="1">
        <v>13316</v>
      </c>
      <c r="ES23" s="1">
        <v>12927</v>
      </c>
      <c r="ET23" s="1">
        <v>12828</v>
      </c>
      <c r="EU23" s="1">
        <v>12607</v>
      </c>
    </row>
    <row r="24" spans="1:151" x14ac:dyDescent="0.25">
      <c r="A24" t="s">
        <v>28</v>
      </c>
      <c r="B24" s="1">
        <v>27682</v>
      </c>
      <c r="C24" s="1">
        <v>29055</v>
      </c>
      <c r="D24" s="1">
        <v>30229</v>
      </c>
      <c r="E24" s="1">
        <v>31099</v>
      </c>
      <c r="F24" s="1">
        <v>31763</v>
      </c>
      <c r="G24" s="1">
        <v>32559</v>
      </c>
      <c r="H24" s="1">
        <v>33712</v>
      </c>
      <c r="I24" s="1">
        <v>35512</v>
      </c>
      <c r="J24" s="1">
        <v>37171</v>
      </c>
      <c r="K24" s="1">
        <v>37507</v>
      </c>
      <c r="L24" s="1">
        <v>36964</v>
      </c>
      <c r="M24" s="1">
        <v>38677</v>
      </c>
      <c r="N24" s="1">
        <v>40029</v>
      </c>
      <c r="O24" s="1">
        <v>41119</v>
      </c>
      <c r="P24" s="1">
        <v>42358</v>
      </c>
      <c r="Q24" s="1">
        <v>44626</v>
      </c>
      <c r="R24" s="1">
        <v>47299</v>
      </c>
      <c r="S24" s="1">
        <v>47876</v>
      </c>
      <c r="T24" s="1">
        <v>49289</v>
      </c>
      <c r="U24" s="1">
        <v>61997</v>
      </c>
      <c r="V24" s="1">
        <v>63580</v>
      </c>
      <c r="W24" s="1">
        <v>51152</v>
      </c>
      <c r="X24" s="1">
        <v>59105</v>
      </c>
      <c r="Y24" s="1">
        <v>71209</v>
      </c>
      <c r="Z24" s="1">
        <v>73807</v>
      </c>
      <c r="AA24" s="1">
        <v>2549</v>
      </c>
      <c r="AB24" s="1">
        <v>2786</v>
      </c>
      <c r="AC24" s="1">
        <v>2939</v>
      </c>
      <c r="AD24" s="1">
        <v>3170</v>
      </c>
      <c r="AE24" s="1">
        <v>3062</v>
      </c>
      <c r="AF24" s="1">
        <v>3509</v>
      </c>
      <c r="AG24" s="1">
        <v>3782</v>
      </c>
      <c r="AH24" s="1">
        <v>4277</v>
      </c>
      <c r="AI24" s="1">
        <v>4536</v>
      </c>
      <c r="AJ24" s="1">
        <v>4461</v>
      </c>
      <c r="AK24" s="1">
        <v>4233</v>
      </c>
      <c r="AL24" s="1">
        <v>4539</v>
      </c>
      <c r="AM24" s="1">
        <v>4572</v>
      </c>
      <c r="AN24" s="1">
        <v>5180</v>
      </c>
      <c r="AO24" s="1">
        <v>5632</v>
      </c>
      <c r="AP24" s="1">
        <v>5872</v>
      </c>
      <c r="AQ24" s="1">
        <v>6360</v>
      </c>
      <c r="AR24" s="1">
        <v>6745</v>
      </c>
      <c r="AS24" s="1">
        <v>6839</v>
      </c>
      <c r="AT24" s="1">
        <v>8938</v>
      </c>
      <c r="AU24" s="1">
        <v>10360</v>
      </c>
      <c r="AV24" s="1">
        <v>7405</v>
      </c>
      <c r="AW24" s="1">
        <v>8308</v>
      </c>
      <c r="AX24" s="1">
        <v>10017</v>
      </c>
      <c r="AY24" s="1">
        <v>10376</v>
      </c>
      <c r="AZ24" s="1">
        <v>4165</v>
      </c>
      <c r="BA24" s="1">
        <v>4181</v>
      </c>
      <c r="BB24" s="1">
        <v>4520</v>
      </c>
      <c r="BC24" s="1">
        <v>4731</v>
      </c>
      <c r="BD24" s="1">
        <v>4698</v>
      </c>
      <c r="BE24" s="1">
        <v>4907</v>
      </c>
      <c r="BF24" s="1">
        <v>4918</v>
      </c>
      <c r="BG24" s="1">
        <v>5242</v>
      </c>
      <c r="BH24" s="1">
        <v>5559</v>
      </c>
      <c r="BI24" s="1">
        <v>5714</v>
      </c>
      <c r="BJ24" s="1">
        <v>5508</v>
      </c>
      <c r="BK24" s="1">
        <v>5602</v>
      </c>
      <c r="BL24" s="1">
        <v>6249</v>
      </c>
      <c r="BM24" s="1">
        <v>6525</v>
      </c>
      <c r="BN24" s="1">
        <v>6481</v>
      </c>
      <c r="BO24" s="1">
        <v>6606</v>
      </c>
      <c r="BP24" s="1">
        <v>7336</v>
      </c>
      <c r="BQ24" s="1">
        <v>7539</v>
      </c>
      <c r="BR24" s="1">
        <v>7618</v>
      </c>
      <c r="BS24" s="1">
        <v>9585</v>
      </c>
      <c r="BT24" s="1">
        <v>10472</v>
      </c>
      <c r="BU24" s="1">
        <v>7408</v>
      </c>
      <c r="BV24" s="1">
        <v>8856</v>
      </c>
      <c r="BW24" s="1">
        <v>10590</v>
      </c>
      <c r="BX24" s="1">
        <v>11096</v>
      </c>
      <c r="BY24" s="1">
        <v>5109</v>
      </c>
      <c r="BZ24" s="1">
        <v>5285</v>
      </c>
      <c r="CA24" s="1">
        <v>5671</v>
      </c>
      <c r="CB24" s="1">
        <v>5717</v>
      </c>
      <c r="CC24" s="1">
        <v>5893</v>
      </c>
      <c r="CD24" s="1">
        <v>6125</v>
      </c>
      <c r="CE24" s="1">
        <v>6383</v>
      </c>
      <c r="CF24" s="1">
        <v>6609</v>
      </c>
      <c r="CG24" s="1">
        <v>6732</v>
      </c>
      <c r="CH24" s="1">
        <v>6679</v>
      </c>
      <c r="CI24" s="1">
        <v>6653</v>
      </c>
      <c r="CJ24" s="1">
        <v>7032</v>
      </c>
      <c r="CK24" s="1">
        <v>7496</v>
      </c>
      <c r="CL24" s="1">
        <v>7447</v>
      </c>
      <c r="CM24" s="1">
        <v>7635</v>
      </c>
      <c r="CN24" s="1">
        <v>8254</v>
      </c>
      <c r="CO24" s="1">
        <v>8640</v>
      </c>
      <c r="CP24" s="1">
        <v>8945</v>
      </c>
      <c r="CQ24" s="1">
        <v>9222</v>
      </c>
      <c r="CR24" s="1">
        <v>11483</v>
      </c>
      <c r="CS24" s="1">
        <v>11385</v>
      </c>
      <c r="CT24" s="1">
        <v>9866</v>
      </c>
      <c r="CU24" s="1">
        <v>11622</v>
      </c>
      <c r="CV24" s="1">
        <v>14127</v>
      </c>
      <c r="CW24" s="1">
        <v>14476</v>
      </c>
      <c r="CX24" s="1">
        <v>6309</v>
      </c>
      <c r="CY24" s="1">
        <v>6856</v>
      </c>
      <c r="CZ24" s="1">
        <v>7104</v>
      </c>
      <c r="DA24" s="1">
        <v>7284</v>
      </c>
      <c r="DB24" s="1">
        <v>7562</v>
      </c>
      <c r="DC24" s="1">
        <v>7331</v>
      </c>
      <c r="DD24" s="1">
        <v>7651</v>
      </c>
      <c r="DE24" s="1">
        <v>7970</v>
      </c>
      <c r="DF24" s="1">
        <v>8156</v>
      </c>
      <c r="DG24" s="1">
        <v>8398</v>
      </c>
      <c r="DH24" s="1">
        <v>8542</v>
      </c>
      <c r="DI24" s="1">
        <v>9232</v>
      </c>
      <c r="DJ24" s="1">
        <v>9158</v>
      </c>
      <c r="DK24" s="1">
        <v>9048</v>
      </c>
      <c r="DL24" s="1">
        <v>9288</v>
      </c>
      <c r="DM24" s="1">
        <v>10066</v>
      </c>
      <c r="DN24" s="1">
        <v>10607</v>
      </c>
      <c r="DO24" s="1">
        <v>10444</v>
      </c>
      <c r="DP24" s="1">
        <v>10781</v>
      </c>
      <c r="DQ24" s="1">
        <v>13512</v>
      </c>
      <c r="DR24" s="1">
        <v>12952</v>
      </c>
      <c r="DS24" s="1">
        <v>10554</v>
      </c>
      <c r="DT24" s="1">
        <v>12371</v>
      </c>
      <c r="DU24" s="1">
        <v>14680</v>
      </c>
      <c r="DV24" s="1">
        <v>15175</v>
      </c>
      <c r="DW24" s="1">
        <v>9550</v>
      </c>
      <c r="DX24" s="1">
        <v>9947</v>
      </c>
      <c r="DY24" s="1">
        <v>9995</v>
      </c>
      <c r="DZ24" s="1">
        <v>10197</v>
      </c>
      <c r="EA24" s="1">
        <v>10548</v>
      </c>
      <c r="EB24" s="1">
        <v>10687</v>
      </c>
      <c r="EC24" s="1">
        <v>10978</v>
      </c>
      <c r="ED24" s="1">
        <v>11414</v>
      </c>
      <c r="EE24" s="1">
        <v>12188</v>
      </c>
      <c r="EF24" s="1">
        <v>12255</v>
      </c>
      <c r="EG24" s="1">
        <v>12028</v>
      </c>
      <c r="EH24" s="1">
        <v>12272</v>
      </c>
      <c r="EI24" s="1">
        <v>12554</v>
      </c>
      <c r="EJ24" s="1">
        <v>12919</v>
      </c>
      <c r="EK24" s="1">
        <v>13322</v>
      </c>
      <c r="EL24" s="1">
        <v>13828</v>
      </c>
      <c r="EM24" s="1">
        <v>14356</v>
      </c>
      <c r="EN24" s="1">
        <v>14203</v>
      </c>
      <c r="EO24" s="1">
        <v>14829</v>
      </c>
      <c r="EP24" s="1">
        <v>18479</v>
      </c>
      <c r="EQ24" s="1">
        <v>18411</v>
      </c>
      <c r="ER24" s="1">
        <v>15919</v>
      </c>
      <c r="ES24" s="1">
        <v>17948</v>
      </c>
      <c r="ET24" s="1">
        <v>21795</v>
      </c>
      <c r="EU24" s="1">
        <v>22683</v>
      </c>
    </row>
    <row r="25" spans="1:151" x14ac:dyDescent="0.25">
      <c r="A25" t="s">
        <v>29</v>
      </c>
      <c r="B25" s="1">
        <v>127461</v>
      </c>
      <c r="C25" s="1">
        <v>133925</v>
      </c>
      <c r="D25" s="1">
        <v>139341</v>
      </c>
      <c r="E25" s="1">
        <v>145400</v>
      </c>
      <c r="F25" s="1">
        <v>153520</v>
      </c>
      <c r="G25" s="1">
        <v>160413</v>
      </c>
      <c r="H25" s="1">
        <v>168562</v>
      </c>
      <c r="I25" s="1">
        <v>177060</v>
      </c>
      <c r="J25" s="1">
        <v>188322</v>
      </c>
      <c r="K25" s="1">
        <v>200145</v>
      </c>
      <c r="L25" s="1">
        <v>205828</v>
      </c>
      <c r="M25" s="1">
        <v>214534</v>
      </c>
      <c r="N25" s="1">
        <v>224318</v>
      </c>
      <c r="O25" s="1">
        <v>232923</v>
      </c>
      <c r="P25" s="1">
        <v>244457</v>
      </c>
      <c r="Q25" s="1">
        <v>257191</v>
      </c>
      <c r="R25" s="1">
        <v>266997</v>
      </c>
      <c r="S25" s="1">
        <v>275833</v>
      </c>
      <c r="T25" s="1">
        <v>288655</v>
      </c>
      <c r="U25" s="1">
        <v>275918</v>
      </c>
      <c r="V25" s="1">
        <v>290097</v>
      </c>
      <c r="W25" s="1">
        <v>302209</v>
      </c>
      <c r="X25" s="1">
        <v>314641</v>
      </c>
      <c r="Y25" s="1">
        <v>340198</v>
      </c>
      <c r="Z25" s="1">
        <v>366271</v>
      </c>
      <c r="AA25" s="1">
        <v>15277</v>
      </c>
      <c r="AB25" s="1">
        <v>16001</v>
      </c>
      <c r="AC25" s="1">
        <v>16335</v>
      </c>
      <c r="AD25" s="1">
        <v>17855</v>
      </c>
      <c r="AE25" s="1">
        <v>18754</v>
      </c>
      <c r="AF25" s="1">
        <v>20161</v>
      </c>
      <c r="AG25" s="1">
        <v>21102</v>
      </c>
      <c r="AH25" s="1">
        <v>23031</v>
      </c>
      <c r="AI25" s="1">
        <v>24535</v>
      </c>
      <c r="AJ25" s="1">
        <v>26637</v>
      </c>
      <c r="AK25" s="1">
        <v>27046</v>
      </c>
      <c r="AL25" s="1">
        <v>29554</v>
      </c>
      <c r="AM25" s="1">
        <v>30268</v>
      </c>
      <c r="AN25" s="1">
        <v>31713</v>
      </c>
      <c r="AO25" s="1">
        <v>33361</v>
      </c>
      <c r="AP25" s="1">
        <v>35472</v>
      </c>
      <c r="AQ25" s="1">
        <v>36447</v>
      </c>
      <c r="AR25" s="1">
        <v>37429</v>
      </c>
      <c r="AS25" s="1">
        <v>39079</v>
      </c>
      <c r="AT25" s="1">
        <v>36770</v>
      </c>
      <c r="AU25" s="1">
        <v>38101</v>
      </c>
      <c r="AV25" s="1">
        <v>40575</v>
      </c>
      <c r="AW25" s="1">
        <v>42747</v>
      </c>
      <c r="AX25" s="1">
        <v>46200</v>
      </c>
      <c r="AY25" s="1">
        <v>49799</v>
      </c>
      <c r="AZ25" s="1">
        <v>20683</v>
      </c>
      <c r="BA25" s="1">
        <v>21242</v>
      </c>
      <c r="BB25" s="1">
        <v>22069</v>
      </c>
      <c r="BC25" s="1">
        <v>23992</v>
      </c>
      <c r="BD25" s="1">
        <v>25111</v>
      </c>
      <c r="BE25" s="1">
        <v>26078</v>
      </c>
      <c r="BF25" s="1">
        <v>27347</v>
      </c>
      <c r="BG25" s="1">
        <v>28118</v>
      </c>
      <c r="BH25" s="1">
        <v>30577</v>
      </c>
      <c r="BI25" s="1">
        <v>32737</v>
      </c>
      <c r="BJ25" s="1">
        <v>33347</v>
      </c>
      <c r="BK25" s="1">
        <v>34485</v>
      </c>
      <c r="BL25" s="1">
        <v>36548</v>
      </c>
      <c r="BM25" s="1">
        <v>37208</v>
      </c>
      <c r="BN25" s="1">
        <v>38740</v>
      </c>
      <c r="BO25" s="1">
        <v>40396</v>
      </c>
      <c r="BP25" s="1">
        <v>42237</v>
      </c>
      <c r="BQ25" s="1">
        <v>43579</v>
      </c>
      <c r="BR25" s="1">
        <v>44511</v>
      </c>
      <c r="BS25" s="1">
        <v>43401</v>
      </c>
      <c r="BT25" s="1">
        <v>46347</v>
      </c>
      <c r="BU25" s="1">
        <v>49408</v>
      </c>
      <c r="BV25" s="1">
        <v>51716</v>
      </c>
      <c r="BW25" s="1">
        <v>55679</v>
      </c>
      <c r="BX25" s="1">
        <v>59898</v>
      </c>
      <c r="BY25" s="1">
        <v>24445</v>
      </c>
      <c r="BZ25" s="1">
        <v>26190</v>
      </c>
      <c r="CA25" s="1">
        <v>27895</v>
      </c>
      <c r="CB25" s="1">
        <v>27997</v>
      </c>
      <c r="CC25" s="1">
        <v>29689</v>
      </c>
      <c r="CD25" s="1">
        <v>30483</v>
      </c>
      <c r="CE25" s="1">
        <v>32135</v>
      </c>
      <c r="CF25" s="1">
        <v>32899</v>
      </c>
      <c r="CG25" s="1">
        <v>35255</v>
      </c>
      <c r="CH25" s="1">
        <v>36928</v>
      </c>
      <c r="CI25" s="1">
        <v>37728</v>
      </c>
      <c r="CJ25" s="1">
        <v>40169</v>
      </c>
      <c r="CK25" s="1">
        <v>41691</v>
      </c>
      <c r="CL25" s="1">
        <v>43016</v>
      </c>
      <c r="CM25" s="1">
        <v>45440</v>
      </c>
      <c r="CN25" s="1">
        <v>48047</v>
      </c>
      <c r="CO25" s="1">
        <v>49938</v>
      </c>
      <c r="CP25" s="1">
        <v>50873</v>
      </c>
      <c r="CQ25" s="1">
        <v>52743</v>
      </c>
      <c r="CR25" s="1">
        <v>50750</v>
      </c>
      <c r="CS25" s="1">
        <v>55150</v>
      </c>
      <c r="CT25" s="1">
        <v>58795</v>
      </c>
      <c r="CU25" s="1">
        <v>62358</v>
      </c>
      <c r="CV25" s="1">
        <v>66870</v>
      </c>
      <c r="CW25" s="1">
        <v>72058</v>
      </c>
      <c r="CX25" s="1">
        <v>28369</v>
      </c>
      <c r="CY25" s="1">
        <v>29876</v>
      </c>
      <c r="CZ25" s="1">
        <v>31199</v>
      </c>
      <c r="DA25" s="1">
        <v>32429</v>
      </c>
      <c r="DB25" s="1">
        <v>34798</v>
      </c>
      <c r="DC25" s="1">
        <v>35098</v>
      </c>
      <c r="DD25" s="1">
        <v>36871</v>
      </c>
      <c r="DE25" s="1">
        <v>38573</v>
      </c>
      <c r="DF25" s="1">
        <v>40884</v>
      </c>
      <c r="DG25" s="1">
        <v>43829</v>
      </c>
      <c r="DH25" s="1">
        <v>45578</v>
      </c>
      <c r="DI25" s="1">
        <v>46250</v>
      </c>
      <c r="DJ25" s="1">
        <v>48961</v>
      </c>
      <c r="DK25" s="1">
        <v>50943</v>
      </c>
      <c r="DL25" s="1">
        <v>54340</v>
      </c>
      <c r="DM25" s="1">
        <v>56249</v>
      </c>
      <c r="DN25" s="1">
        <v>57685</v>
      </c>
      <c r="DO25" s="1">
        <v>60131</v>
      </c>
      <c r="DP25" s="1">
        <v>63503</v>
      </c>
      <c r="DQ25" s="1">
        <v>59763</v>
      </c>
      <c r="DR25" s="1">
        <v>60782</v>
      </c>
      <c r="DS25" s="1">
        <v>63230</v>
      </c>
      <c r="DT25" s="1">
        <v>66518</v>
      </c>
      <c r="DU25" s="1">
        <v>72006</v>
      </c>
      <c r="DV25" s="1">
        <v>77407</v>
      </c>
      <c r="DW25" s="1">
        <v>38687</v>
      </c>
      <c r="DX25" s="1">
        <v>40616</v>
      </c>
      <c r="DY25" s="1">
        <v>41843</v>
      </c>
      <c r="DZ25" s="1">
        <v>43127</v>
      </c>
      <c r="EA25" s="1">
        <v>45168</v>
      </c>
      <c r="EB25" s="1">
        <v>48593</v>
      </c>
      <c r="EC25" s="1">
        <v>51107</v>
      </c>
      <c r="ED25" s="1">
        <v>54439</v>
      </c>
      <c r="EE25" s="1">
        <v>57071</v>
      </c>
      <c r="EF25" s="1">
        <v>60014</v>
      </c>
      <c r="EG25" s="1">
        <v>62129</v>
      </c>
      <c r="EH25" s="1">
        <v>64076</v>
      </c>
      <c r="EI25" s="1">
        <v>66850</v>
      </c>
      <c r="EJ25" s="1">
        <v>70043</v>
      </c>
      <c r="EK25" s="1">
        <v>72576</v>
      </c>
      <c r="EL25" s="1">
        <v>77027</v>
      </c>
      <c r="EM25" s="1">
        <v>80690</v>
      </c>
      <c r="EN25" s="1">
        <v>83821</v>
      </c>
      <c r="EO25" s="1">
        <v>88819</v>
      </c>
      <c r="EP25" s="1">
        <v>85234</v>
      </c>
      <c r="EQ25" s="1">
        <v>89717</v>
      </c>
      <c r="ER25" s="1">
        <v>90201</v>
      </c>
      <c r="ES25" s="1">
        <v>91302</v>
      </c>
      <c r="ET25" s="1">
        <v>99443</v>
      </c>
      <c r="EU25" s="1">
        <v>107109</v>
      </c>
    </row>
    <row r="26" spans="1:151" x14ac:dyDescent="0.25">
      <c r="A26" t="s">
        <v>30</v>
      </c>
      <c r="B26" s="1">
        <v>31904</v>
      </c>
      <c r="C26" s="1">
        <v>33921</v>
      </c>
      <c r="D26" s="1">
        <v>35912</v>
      </c>
      <c r="E26" s="1">
        <v>38516</v>
      </c>
      <c r="F26" s="1">
        <v>40551</v>
      </c>
      <c r="G26" s="1">
        <v>42785</v>
      </c>
      <c r="H26" s="1">
        <v>44873</v>
      </c>
      <c r="I26" s="1">
        <v>48180</v>
      </c>
      <c r="J26" s="1">
        <v>50974</v>
      </c>
      <c r="K26" s="1">
        <v>52639</v>
      </c>
      <c r="L26" s="1">
        <v>52060</v>
      </c>
      <c r="M26" s="1">
        <v>53422</v>
      </c>
      <c r="N26" s="1">
        <v>53901</v>
      </c>
      <c r="O26" s="1">
        <v>54543</v>
      </c>
      <c r="P26" s="1">
        <v>55877</v>
      </c>
      <c r="Q26" s="1">
        <v>58285</v>
      </c>
      <c r="R26" s="1">
        <v>60547</v>
      </c>
      <c r="S26" s="1">
        <v>62858</v>
      </c>
      <c r="T26" s="1">
        <v>65200</v>
      </c>
      <c r="U26" s="1">
        <v>76452</v>
      </c>
      <c r="V26" s="1">
        <v>79247</v>
      </c>
      <c r="W26" s="1">
        <v>81724</v>
      </c>
      <c r="X26" s="1">
        <v>91277</v>
      </c>
      <c r="Y26" s="1">
        <v>94895</v>
      </c>
      <c r="Z26" s="1">
        <v>93062</v>
      </c>
      <c r="AA26" s="1">
        <v>3377</v>
      </c>
      <c r="AB26" s="1">
        <v>3599</v>
      </c>
      <c r="AC26" s="1">
        <v>3449</v>
      </c>
      <c r="AD26" s="1">
        <v>3808</v>
      </c>
      <c r="AE26" s="1">
        <v>4019</v>
      </c>
      <c r="AF26" s="1">
        <v>4528</v>
      </c>
      <c r="AG26" s="1">
        <v>4888</v>
      </c>
      <c r="AH26" s="1">
        <v>5676</v>
      </c>
      <c r="AI26" s="1">
        <v>6101</v>
      </c>
      <c r="AJ26" s="1">
        <v>6192</v>
      </c>
      <c r="AK26" s="1">
        <v>6010</v>
      </c>
      <c r="AL26" s="1">
        <v>5676</v>
      </c>
      <c r="AM26" s="1">
        <v>5587</v>
      </c>
      <c r="AN26" s="1">
        <v>5430</v>
      </c>
      <c r="AO26" s="1">
        <v>6014</v>
      </c>
      <c r="AP26" s="1">
        <v>6592</v>
      </c>
      <c r="AQ26" s="1">
        <v>6406</v>
      </c>
      <c r="AR26" s="1">
        <v>6592</v>
      </c>
      <c r="AS26" s="1">
        <v>6803</v>
      </c>
      <c r="AT26" s="1">
        <v>8713</v>
      </c>
      <c r="AU26" s="1">
        <v>9724</v>
      </c>
      <c r="AV26" s="1">
        <v>9953</v>
      </c>
      <c r="AW26" s="1">
        <v>11081</v>
      </c>
      <c r="AX26" s="1">
        <v>11575</v>
      </c>
      <c r="AY26" s="1">
        <v>11334</v>
      </c>
      <c r="AZ26" s="1">
        <v>4755</v>
      </c>
      <c r="BA26" s="1">
        <v>4850</v>
      </c>
      <c r="BB26" s="1">
        <v>5191</v>
      </c>
      <c r="BC26" s="1">
        <v>5551</v>
      </c>
      <c r="BD26" s="1">
        <v>5690</v>
      </c>
      <c r="BE26" s="1">
        <v>6067</v>
      </c>
      <c r="BF26" s="1">
        <v>6413</v>
      </c>
      <c r="BG26" s="1">
        <v>6793</v>
      </c>
      <c r="BH26" s="1">
        <v>7282</v>
      </c>
      <c r="BI26" s="1">
        <v>7605</v>
      </c>
      <c r="BJ26" s="1">
        <v>7200</v>
      </c>
      <c r="BK26" s="1">
        <v>7381</v>
      </c>
      <c r="BL26" s="1">
        <v>6907</v>
      </c>
      <c r="BM26" s="1">
        <v>7307</v>
      </c>
      <c r="BN26" s="1">
        <v>7207</v>
      </c>
      <c r="BO26" s="1">
        <v>7675</v>
      </c>
      <c r="BP26" s="1">
        <v>8331</v>
      </c>
      <c r="BQ26" s="1">
        <v>8400</v>
      </c>
      <c r="BR26" s="1">
        <v>8986</v>
      </c>
      <c r="BS26" s="1">
        <v>10903</v>
      </c>
      <c r="BT26" s="1">
        <v>11935</v>
      </c>
      <c r="BU26" s="1">
        <v>12669</v>
      </c>
      <c r="BV26" s="1">
        <v>14114</v>
      </c>
      <c r="BW26" s="1">
        <v>14506</v>
      </c>
      <c r="BX26" s="1">
        <v>14168</v>
      </c>
      <c r="BY26" s="1">
        <v>6037</v>
      </c>
      <c r="BZ26" s="1">
        <v>6099</v>
      </c>
      <c r="CA26" s="1">
        <v>6602</v>
      </c>
      <c r="CB26" s="1">
        <v>7057</v>
      </c>
      <c r="CC26" s="1">
        <v>7395</v>
      </c>
      <c r="CD26" s="1">
        <v>7699</v>
      </c>
      <c r="CE26" s="1">
        <v>7905</v>
      </c>
      <c r="CF26" s="1">
        <v>8777</v>
      </c>
      <c r="CG26" s="1">
        <v>9115</v>
      </c>
      <c r="CH26" s="1">
        <v>9265</v>
      </c>
      <c r="CI26" s="1">
        <v>9208</v>
      </c>
      <c r="CJ26" s="1">
        <v>9511</v>
      </c>
      <c r="CK26" s="1">
        <v>9934</v>
      </c>
      <c r="CL26" s="1">
        <v>9921</v>
      </c>
      <c r="CM26" s="1">
        <v>9992</v>
      </c>
      <c r="CN26" s="1">
        <v>10411</v>
      </c>
      <c r="CO26" s="1">
        <v>11130</v>
      </c>
      <c r="CP26" s="1">
        <v>11484</v>
      </c>
      <c r="CQ26" s="1">
        <v>12019</v>
      </c>
      <c r="CR26" s="1">
        <v>14339</v>
      </c>
      <c r="CS26" s="1">
        <v>14617</v>
      </c>
      <c r="CT26" s="1">
        <v>14466</v>
      </c>
      <c r="CU26" s="1">
        <v>17000</v>
      </c>
      <c r="CV26" s="1">
        <v>17798</v>
      </c>
      <c r="CW26" s="1">
        <v>17473</v>
      </c>
      <c r="CX26" s="1">
        <v>7332</v>
      </c>
      <c r="CY26" s="1">
        <v>7821</v>
      </c>
      <c r="CZ26" s="1">
        <v>8314</v>
      </c>
      <c r="DA26" s="1">
        <v>8783</v>
      </c>
      <c r="DB26" s="1">
        <v>9466</v>
      </c>
      <c r="DC26" s="1">
        <v>9421</v>
      </c>
      <c r="DD26" s="1">
        <v>10135</v>
      </c>
      <c r="DE26" s="1">
        <v>10665</v>
      </c>
      <c r="DF26" s="1">
        <v>11183</v>
      </c>
      <c r="DG26" s="1">
        <v>11642</v>
      </c>
      <c r="DH26" s="1">
        <v>11458</v>
      </c>
      <c r="DI26" s="1">
        <v>11779</v>
      </c>
      <c r="DJ26" s="1">
        <v>12517</v>
      </c>
      <c r="DK26" s="1">
        <v>11898</v>
      </c>
      <c r="DL26" s="1">
        <v>12737</v>
      </c>
      <c r="DM26" s="1">
        <v>12947</v>
      </c>
      <c r="DN26" s="1">
        <v>13863</v>
      </c>
      <c r="DO26" s="1">
        <v>14344</v>
      </c>
      <c r="DP26" s="1">
        <v>14484</v>
      </c>
      <c r="DQ26" s="1">
        <v>16406</v>
      </c>
      <c r="DR26" s="1">
        <v>16235</v>
      </c>
      <c r="DS26" s="1">
        <v>16978</v>
      </c>
      <c r="DT26" s="1">
        <v>19354</v>
      </c>
      <c r="DU26" s="1">
        <v>19697</v>
      </c>
      <c r="DV26" s="1">
        <v>19326</v>
      </c>
      <c r="DW26" s="1">
        <v>10403</v>
      </c>
      <c r="DX26" s="1">
        <v>11552</v>
      </c>
      <c r="DY26" s="1">
        <v>12356</v>
      </c>
      <c r="DZ26" s="1">
        <v>13317</v>
      </c>
      <c r="EA26" s="1">
        <v>13981</v>
      </c>
      <c r="EB26" s="1">
        <v>15070</v>
      </c>
      <c r="EC26" s="1">
        <v>15532</v>
      </c>
      <c r="ED26" s="1">
        <v>16269</v>
      </c>
      <c r="EE26" s="1">
        <v>17293</v>
      </c>
      <c r="EF26" s="1">
        <v>17935</v>
      </c>
      <c r="EG26" s="1">
        <v>18184</v>
      </c>
      <c r="EH26" s="1">
        <v>19075</v>
      </c>
      <c r="EI26" s="1">
        <v>18956</v>
      </c>
      <c r="EJ26" s="1">
        <v>19987</v>
      </c>
      <c r="EK26" s="1">
        <v>19927</v>
      </c>
      <c r="EL26" s="1">
        <v>20660</v>
      </c>
      <c r="EM26" s="1">
        <v>20817</v>
      </c>
      <c r="EN26" s="1">
        <v>22038</v>
      </c>
      <c r="EO26" s="1">
        <v>22908</v>
      </c>
      <c r="EP26" s="1">
        <v>26091</v>
      </c>
      <c r="EQ26" s="1">
        <v>26736</v>
      </c>
      <c r="ER26" s="1">
        <v>27658</v>
      </c>
      <c r="ES26" s="1">
        <v>29728</v>
      </c>
      <c r="ET26" s="1">
        <v>31319</v>
      </c>
      <c r="EU26" s="1">
        <v>30762</v>
      </c>
    </row>
    <row r="27" spans="1:151" x14ac:dyDescent="0.25">
      <c r="A27" t="s">
        <v>31</v>
      </c>
      <c r="B27" s="1">
        <v>18335</v>
      </c>
      <c r="C27" s="1">
        <v>19802</v>
      </c>
      <c r="D27" s="1">
        <v>21548</v>
      </c>
      <c r="E27" s="1">
        <v>23418</v>
      </c>
      <c r="F27" s="1">
        <v>24760</v>
      </c>
      <c r="G27" s="1">
        <v>26646</v>
      </c>
      <c r="H27" s="1">
        <v>28720</v>
      </c>
      <c r="I27" s="1">
        <v>31246</v>
      </c>
      <c r="J27" s="1">
        <v>33824</v>
      </c>
      <c r="K27" s="1">
        <v>35944</v>
      </c>
      <c r="L27" s="1">
        <v>37843</v>
      </c>
      <c r="M27" s="1">
        <v>39809</v>
      </c>
      <c r="N27" s="1">
        <v>41354</v>
      </c>
      <c r="O27" s="1">
        <v>42508</v>
      </c>
      <c r="P27" s="1">
        <v>44037</v>
      </c>
      <c r="Q27" s="1">
        <v>45717</v>
      </c>
      <c r="R27" s="1">
        <v>47935</v>
      </c>
      <c r="S27" s="1">
        <v>50188</v>
      </c>
      <c r="T27" s="1">
        <v>52376</v>
      </c>
      <c r="U27" s="1">
        <v>51350</v>
      </c>
      <c r="V27" s="1">
        <v>53419</v>
      </c>
      <c r="W27" s="1">
        <v>50575</v>
      </c>
      <c r="X27" s="1">
        <v>56663</v>
      </c>
      <c r="Y27" s="1">
        <v>62000</v>
      </c>
      <c r="Z27" s="1">
        <v>66112</v>
      </c>
      <c r="AA27" s="1">
        <v>2055</v>
      </c>
      <c r="AB27" s="1">
        <v>2143</v>
      </c>
      <c r="AC27" s="1">
        <v>2206</v>
      </c>
      <c r="AD27" s="1">
        <v>2396</v>
      </c>
      <c r="AE27" s="1">
        <v>2533</v>
      </c>
      <c r="AF27" s="1">
        <v>2930</v>
      </c>
      <c r="AG27" s="1">
        <v>3120</v>
      </c>
      <c r="AH27" s="1">
        <v>3879</v>
      </c>
      <c r="AI27" s="1">
        <v>4237</v>
      </c>
      <c r="AJ27" s="1">
        <v>4474</v>
      </c>
      <c r="AK27" s="1">
        <v>4931</v>
      </c>
      <c r="AL27" s="1">
        <v>5480</v>
      </c>
      <c r="AM27" s="1">
        <v>5426</v>
      </c>
      <c r="AN27" s="1">
        <v>5750</v>
      </c>
      <c r="AO27" s="1">
        <v>5924</v>
      </c>
      <c r="AP27" s="1">
        <v>6163</v>
      </c>
      <c r="AQ27" s="1">
        <v>6263</v>
      </c>
      <c r="AR27" s="1">
        <v>6439</v>
      </c>
      <c r="AS27" s="1">
        <v>6563</v>
      </c>
      <c r="AT27" s="1">
        <v>6442</v>
      </c>
      <c r="AU27" s="1">
        <v>6578</v>
      </c>
      <c r="AV27" s="1">
        <v>5862</v>
      </c>
      <c r="AW27" s="1">
        <v>6501</v>
      </c>
      <c r="AX27" s="1">
        <v>7115</v>
      </c>
      <c r="AY27" s="1">
        <v>7563</v>
      </c>
      <c r="AZ27" s="1">
        <v>3387</v>
      </c>
      <c r="BA27" s="1">
        <v>3600</v>
      </c>
      <c r="BB27" s="1">
        <v>3879</v>
      </c>
      <c r="BC27" s="1">
        <v>4102</v>
      </c>
      <c r="BD27" s="1">
        <v>4132</v>
      </c>
      <c r="BE27" s="1">
        <v>4436</v>
      </c>
      <c r="BF27" s="1">
        <v>4880</v>
      </c>
      <c r="BG27" s="1">
        <v>5030</v>
      </c>
      <c r="BH27" s="1">
        <v>5385</v>
      </c>
      <c r="BI27" s="1">
        <v>6043</v>
      </c>
      <c r="BJ27" s="1">
        <v>6384</v>
      </c>
      <c r="BK27" s="1">
        <v>6739</v>
      </c>
      <c r="BL27" s="1">
        <v>7144</v>
      </c>
      <c r="BM27" s="1">
        <v>7425</v>
      </c>
      <c r="BN27" s="1">
        <v>7647</v>
      </c>
      <c r="BO27" s="1">
        <v>8232</v>
      </c>
      <c r="BP27" s="1">
        <v>8498</v>
      </c>
      <c r="BQ27" s="1">
        <v>8631</v>
      </c>
      <c r="BR27" s="1">
        <v>8877</v>
      </c>
      <c r="BS27" s="1">
        <v>8798</v>
      </c>
      <c r="BT27" s="1">
        <v>8796</v>
      </c>
      <c r="BU27" s="1">
        <v>8351</v>
      </c>
      <c r="BV27" s="1">
        <v>9321</v>
      </c>
      <c r="BW27" s="1">
        <v>10090</v>
      </c>
      <c r="BX27" s="1">
        <v>10812</v>
      </c>
      <c r="BY27" s="1">
        <v>3720</v>
      </c>
      <c r="BZ27" s="1">
        <v>3879</v>
      </c>
      <c r="CA27" s="1">
        <v>4312</v>
      </c>
      <c r="CB27" s="1">
        <v>4636</v>
      </c>
      <c r="CC27" s="1">
        <v>4728</v>
      </c>
      <c r="CD27" s="1">
        <v>5089</v>
      </c>
      <c r="CE27" s="1">
        <v>5422</v>
      </c>
      <c r="CF27" s="1">
        <v>5831</v>
      </c>
      <c r="CG27" s="1">
        <v>6200</v>
      </c>
      <c r="CH27" s="1">
        <v>6681</v>
      </c>
      <c r="CI27" s="1">
        <v>7229</v>
      </c>
      <c r="CJ27" s="1">
        <v>7681</v>
      </c>
      <c r="CK27" s="1">
        <v>8101</v>
      </c>
      <c r="CL27" s="1">
        <v>8386</v>
      </c>
      <c r="CM27" s="1">
        <v>8438</v>
      </c>
      <c r="CN27" s="1">
        <v>8668</v>
      </c>
      <c r="CO27" s="1">
        <v>9071</v>
      </c>
      <c r="CP27" s="1">
        <v>9782</v>
      </c>
      <c r="CQ27" s="1">
        <v>9956</v>
      </c>
      <c r="CR27" s="1">
        <v>10040</v>
      </c>
      <c r="CS27" s="1">
        <v>10299</v>
      </c>
      <c r="CT27" s="1">
        <v>9826</v>
      </c>
      <c r="CU27" s="1">
        <v>11707</v>
      </c>
      <c r="CV27" s="1">
        <v>12979</v>
      </c>
      <c r="CW27" s="1">
        <v>13800</v>
      </c>
      <c r="CX27" s="1">
        <v>3996</v>
      </c>
      <c r="CY27" s="1">
        <v>4334</v>
      </c>
      <c r="CZ27" s="1">
        <v>4889</v>
      </c>
      <c r="DA27" s="1">
        <v>5302</v>
      </c>
      <c r="DB27" s="1">
        <v>5873</v>
      </c>
      <c r="DC27" s="1">
        <v>6066</v>
      </c>
      <c r="DD27" s="1">
        <v>6739</v>
      </c>
      <c r="DE27" s="1">
        <v>7195</v>
      </c>
      <c r="DF27" s="1">
        <v>7762</v>
      </c>
      <c r="DG27" s="1">
        <v>8173</v>
      </c>
      <c r="DH27" s="1">
        <v>8370</v>
      </c>
      <c r="DI27" s="1">
        <v>8861</v>
      </c>
      <c r="DJ27" s="1">
        <v>9120</v>
      </c>
      <c r="DK27" s="1">
        <v>9267</v>
      </c>
      <c r="DL27" s="1">
        <v>9814</v>
      </c>
      <c r="DM27" s="1">
        <v>10077</v>
      </c>
      <c r="DN27" s="1">
        <v>10413</v>
      </c>
      <c r="DO27" s="1">
        <v>11236</v>
      </c>
      <c r="DP27" s="1">
        <v>11860</v>
      </c>
      <c r="DQ27" s="1">
        <v>11202</v>
      </c>
      <c r="DR27" s="1">
        <v>11941</v>
      </c>
      <c r="DS27" s="1">
        <v>10317</v>
      </c>
      <c r="DT27" s="1">
        <v>11764</v>
      </c>
      <c r="DU27" s="1">
        <v>12540</v>
      </c>
      <c r="DV27" s="1">
        <v>13369</v>
      </c>
      <c r="DW27" s="1">
        <v>5177</v>
      </c>
      <c r="DX27" s="1">
        <v>5846</v>
      </c>
      <c r="DY27" s="1">
        <v>6262</v>
      </c>
      <c r="DZ27" s="1">
        <v>6982</v>
      </c>
      <c r="EA27" s="1">
        <v>7494</v>
      </c>
      <c r="EB27" s="1">
        <v>8125</v>
      </c>
      <c r="EC27" s="1">
        <v>8559</v>
      </c>
      <c r="ED27" s="1">
        <v>9311</v>
      </c>
      <c r="EE27" s="1">
        <v>10240</v>
      </c>
      <c r="EF27" s="1">
        <v>10573</v>
      </c>
      <c r="EG27" s="1">
        <v>10929</v>
      </c>
      <c r="EH27" s="1">
        <v>11048</v>
      </c>
      <c r="EI27" s="1">
        <v>11563</v>
      </c>
      <c r="EJ27" s="1">
        <v>11680</v>
      </c>
      <c r="EK27" s="1">
        <v>12214</v>
      </c>
      <c r="EL27" s="1">
        <v>12577</v>
      </c>
      <c r="EM27" s="1">
        <v>13690</v>
      </c>
      <c r="EN27" s="1">
        <v>14100</v>
      </c>
      <c r="EO27" s="1">
        <v>15120</v>
      </c>
      <c r="EP27" s="1">
        <v>14868</v>
      </c>
      <c r="EQ27" s="1">
        <v>15805</v>
      </c>
      <c r="ER27" s="1">
        <v>16219</v>
      </c>
      <c r="ES27" s="1">
        <v>17370</v>
      </c>
      <c r="ET27" s="1">
        <v>19276</v>
      </c>
      <c r="EU27" s="1">
        <v>20567</v>
      </c>
    </row>
    <row r="28" spans="1:151" x14ac:dyDescent="0.25">
      <c r="A28" t="s">
        <v>32</v>
      </c>
      <c r="B28" s="1">
        <v>81881</v>
      </c>
      <c r="C28" s="1">
        <v>89012</v>
      </c>
      <c r="D28" s="1">
        <v>90542</v>
      </c>
      <c r="E28" s="1">
        <v>97163</v>
      </c>
      <c r="F28" s="1">
        <v>101244</v>
      </c>
      <c r="G28" s="1">
        <v>105296</v>
      </c>
      <c r="H28" s="1">
        <v>113683</v>
      </c>
      <c r="I28" s="1">
        <v>120288</v>
      </c>
      <c r="J28" s="1">
        <v>128871</v>
      </c>
      <c r="K28" s="1">
        <v>134707</v>
      </c>
      <c r="L28" s="1">
        <v>125375</v>
      </c>
      <c r="M28" s="1">
        <v>137860</v>
      </c>
      <c r="N28" s="1">
        <v>148259</v>
      </c>
      <c r="O28" s="1">
        <v>155318</v>
      </c>
      <c r="P28" s="1">
        <v>163831</v>
      </c>
      <c r="Q28" s="1">
        <v>172794</v>
      </c>
      <c r="R28" s="1">
        <v>172494</v>
      </c>
      <c r="S28" s="1">
        <v>176475</v>
      </c>
      <c r="T28" s="1">
        <v>189321</v>
      </c>
      <c r="U28" s="1">
        <v>208408</v>
      </c>
      <c r="V28" s="1">
        <v>209217</v>
      </c>
      <c r="W28" s="1">
        <v>164287</v>
      </c>
      <c r="X28" s="1">
        <v>189361</v>
      </c>
      <c r="Y28" s="1">
        <v>225423</v>
      </c>
      <c r="Z28" s="1">
        <v>243275</v>
      </c>
      <c r="AA28" s="1">
        <v>6668</v>
      </c>
      <c r="AB28" s="1">
        <v>7636</v>
      </c>
      <c r="AC28" s="1">
        <v>7303</v>
      </c>
      <c r="AD28" s="1">
        <v>8283</v>
      </c>
      <c r="AE28" s="1">
        <v>8269</v>
      </c>
      <c r="AF28" s="1">
        <v>8869</v>
      </c>
      <c r="AG28" s="1">
        <v>10596</v>
      </c>
      <c r="AH28" s="1">
        <v>12063</v>
      </c>
      <c r="AI28" s="1">
        <v>12930</v>
      </c>
      <c r="AJ28" s="1">
        <v>13951</v>
      </c>
      <c r="AK28" s="1">
        <v>12486</v>
      </c>
      <c r="AL28" s="1">
        <v>14832</v>
      </c>
      <c r="AM28" s="1">
        <v>15592</v>
      </c>
      <c r="AN28" s="1">
        <v>16778</v>
      </c>
      <c r="AO28" s="1">
        <v>18263</v>
      </c>
      <c r="AP28" s="1">
        <v>19052</v>
      </c>
      <c r="AQ28" s="1">
        <v>18871</v>
      </c>
      <c r="AR28" s="1">
        <v>19427</v>
      </c>
      <c r="AS28" s="1">
        <v>21954</v>
      </c>
      <c r="AT28" s="1">
        <v>25373</v>
      </c>
      <c r="AU28" s="1">
        <v>29961</v>
      </c>
      <c r="AV28" s="1">
        <v>21842</v>
      </c>
      <c r="AW28" s="1">
        <v>25468</v>
      </c>
      <c r="AX28" s="1">
        <v>30430</v>
      </c>
      <c r="AY28" s="1">
        <v>32923</v>
      </c>
      <c r="AZ28" s="1">
        <v>11514</v>
      </c>
      <c r="BA28" s="1">
        <v>12472</v>
      </c>
      <c r="BB28" s="1">
        <v>12226</v>
      </c>
      <c r="BC28" s="1">
        <v>13388</v>
      </c>
      <c r="BD28" s="1">
        <v>13582</v>
      </c>
      <c r="BE28" s="1">
        <v>15357</v>
      </c>
      <c r="BF28" s="1">
        <v>16369</v>
      </c>
      <c r="BG28" s="1">
        <v>18098</v>
      </c>
      <c r="BH28" s="1">
        <v>19361</v>
      </c>
      <c r="BI28" s="1">
        <v>20372</v>
      </c>
      <c r="BJ28" s="1">
        <v>18735</v>
      </c>
      <c r="BK28" s="1">
        <v>20817</v>
      </c>
      <c r="BL28" s="1">
        <v>22429</v>
      </c>
      <c r="BM28" s="1">
        <v>23220</v>
      </c>
      <c r="BN28" s="1">
        <v>24411</v>
      </c>
      <c r="BO28" s="1">
        <v>25961</v>
      </c>
      <c r="BP28" s="1">
        <v>26264</v>
      </c>
      <c r="BQ28" s="1">
        <v>27967</v>
      </c>
      <c r="BR28" s="1">
        <v>30154</v>
      </c>
      <c r="BS28" s="1">
        <v>32965</v>
      </c>
      <c r="BT28" s="1">
        <v>35700</v>
      </c>
      <c r="BU28" s="1">
        <v>27222</v>
      </c>
      <c r="BV28" s="1">
        <v>32071</v>
      </c>
      <c r="BW28" s="1">
        <v>37539</v>
      </c>
      <c r="BX28" s="1">
        <v>41444</v>
      </c>
      <c r="BY28" s="1">
        <v>16214</v>
      </c>
      <c r="BZ28" s="1">
        <v>16855</v>
      </c>
      <c r="CA28" s="1">
        <v>17653</v>
      </c>
      <c r="CB28" s="1">
        <v>18737</v>
      </c>
      <c r="CC28" s="1">
        <v>19749</v>
      </c>
      <c r="CD28" s="1">
        <v>19375</v>
      </c>
      <c r="CE28" s="1">
        <v>21460</v>
      </c>
      <c r="CF28" s="1">
        <v>22023</v>
      </c>
      <c r="CG28" s="1">
        <v>24394</v>
      </c>
      <c r="CH28" s="1">
        <v>25045</v>
      </c>
      <c r="CI28" s="1">
        <v>23355</v>
      </c>
      <c r="CJ28" s="1">
        <v>26016</v>
      </c>
      <c r="CK28" s="1">
        <v>28003</v>
      </c>
      <c r="CL28" s="1">
        <v>30413</v>
      </c>
      <c r="CM28" s="1">
        <v>30984</v>
      </c>
      <c r="CN28" s="1">
        <v>33482</v>
      </c>
      <c r="CO28" s="1">
        <v>34301</v>
      </c>
      <c r="CP28" s="1">
        <v>34029</v>
      </c>
      <c r="CQ28" s="1">
        <v>35701</v>
      </c>
      <c r="CR28" s="1">
        <v>39532</v>
      </c>
      <c r="CS28" s="1">
        <v>38605</v>
      </c>
      <c r="CT28" s="1">
        <v>29950</v>
      </c>
      <c r="CU28" s="1">
        <v>35228</v>
      </c>
      <c r="CV28" s="1">
        <v>43153</v>
      </c>
      <c r="CW28" s="1">
        <v>45573</v>
      </c>
      <c r="CX28" s="1">
        <v>20480</v>
      </c>
      <c r="CY28" s="1">
        <v>22048</v>
      </c>
      <c r="CZ28" s="1">
        <v>22487</v>
      </c>
      <c r="DA28" s="1">
        <v>23759</v>
      </c>
      <c r="DB28" s="1">
        <v>25016</v>
      </c>
      <c r="DC28" s="1">
        <v>24891</v>
      </c>
      <c r="DD28" s="1">
        <v>27122</v>
      </c>
      <c r="DE28" s="1">
        <v>29257</v>
      </c>
      <c r="DF28" s="1">
        <v>30540</v>
      </c>
      <c r="DG28" s="1">
        <v>32841</v>
      </c>
      <c r="DH28" s="1">
        <v>30506</v>
      </c>
      <c r="DI28" s="1">
        <v>32675</v>
      </c>
      <c r="DJ28" s="1">
        <v>36845</v>
      </c>
      <c r="DK28" s="1">
        <v>37297</v>
      </c>
      <c r="DL28" s="1">
        <v>39706</v>
      </c>
      <c r="DM28" s="1">
        <v>41187</v>
      </c>
      <c r="DN28" s="1">
        <v>40604</v>
      </c>
      <c r="DO28" s="1">
        <v>40884</v>
      </c>
      <c r="DP28" s="1">
        <v>44271</v>
      </c>
      <c r="DQ28" s="1">
        <v>48363</v>
      </c>
      <c r="DR28" s="1">
        <v>46286</v>
      </c>
      <c r="DS28" s="1">
        <v>37646</v>
      </c>
      <c r="DT28" s="1">
        <v>43182</v>
      </c>
      <c r="DU28" s="1">
        <v>50878</v>
      </c>
      <c r="DV28" s="1">
        <v>54864</v>
      </c>
      <c r="DW28" s="1">
        <v>27005</v>
      </c>
      <c r="DX28" s="1">
        <v>30001</v>
      </c>
      <c r="DY28" s="1">
        <v>30873</v>
      </c>
      <c r="DZ28" s="1">
        <v>32996</v>
      </c>
      <c r="EA28" s="1">
        <v>34628</v>
      </c>
      <c r="EB28" s="1">
        <v>36804</v>
      </c>
      <c r="EC28" s="1">
        <v>38136</v>
      </c>
      <c r="ED28" s="1">
        <v>38847</v>
      </c>
      <c r="EE28" s="1">
        <v>41646</v>
      </c>
      <c r="EF28" s="1">
        <v>42498</v>
      </c>
      <c r="EG28" s="1">
        <v>40293</v>
      </c>
      <c r="EH28" s="1">
        <v>43520</v>
      </c>
      <c r="EI28" s="1">
        <v>45390</v>
      </c>
      <c r="EJ28" s="1">
        <v>47610</v>
      </c>
      <c r="EK28" s="1">
        <v>50467</v>
      </c>
      <c r="EL28" s="1">
        <v>53112</v>
      </c>
      <c r="EM28" s="1">
        <v>52454</v>
      </c>
      <c r="EN28" s="1">
        <v>54168</v>
      </c>
      <c r="EO28" s="1">
        <v>57241</v>
      </c>
      <c r="EP28" s="1">
        <v>62175</v>
      </c>
      <c r="EQ28" s="1">
        <v>58665</v>
      </c>
      <c r="ER28" s="1">
        <v>47627</v>
      </c>
      <c r="ES28" s="1">
        <v>53412</v>
      </c>
      <c r="ET28" s="1">
        <v>63423</v>
      </c>
      <c r="EU28" s="1">
        <v>68470</v>
      </c>
    </row>
    <row r="29" spans="1:151" x14ac:dyDescent="0.25">
      <c r="A29" t="s">
        <v>33</v>
      </c>
      <c r="B29" s="1">
        <v>11372</v>
      </c>
      <c r="C29" s="1">
        <v>12642</v>
      </c>
      <c r="D29" s="1">
        <v>13672</v>
      </c>
      <c r="E29" s="1">
        <v>15134</v>
      </c>
      <c r="F29" s="1">
        <v>15788</v>
      </c>
      <c r="G29" s="1">
        <v>16811</v>
      </c>
      <c r="H29" s="1">
        <v>18071</v>
      </c>
      <c r="I29" s="1">
        <v>19243</v>
      </c>
      <c r="J29" s="1">
        <v>20175</v>
      </c>
      <c r="K29" s="1">
        <v>21030</v>
      </c>
      <c r="L29" s="1">
        <v>22551</v>
      </c>
      <c r="M29" s="1">
        <v>23423</v>
      </c>
      <c r="N29" s="1">
        <v>24745</v>
      </c>
      <c r="O29" s="1">
        <v>25561</v>
      </c>
      <c r="P29" s="1">
        <v>26831</v>
      </c>
      <c r="Q29" s="1">
        <v>28184</v>
      </c>
      <c r="R29" s="1">
        <v>29495</v>
      </c>
      <c r="S29" s="1">
        <v>30697</v>
      </c>
      <c r="T29" s="1">
        <v>33112</v>
      </c>
      <c r="U29" s="1">
        <v>32218</v>
      </c>
      <c r="V29" s="1">
        <v>33343</v>
      </c>
      <c r="W29" s="1">
        <v>34090</v>
      </c>
      <c r="X29" s="1">
        <v>35384</v>
      </c>
      <c r="Y29" s="1">
        <v>37378</v>
      </c>
      <c r="Z29" s="1">
        <v>39258</v>
      </c>
      <c r="AA29" s="1">
        <v>1658</v>
      </c>
      <c r="AB29" s="1">
        <v>1767</v>
      </c>
      <c r="AC29" s="1">
        <v>1883</v>
      </c>
      <c r="AD29" s="1">
        <v>2135</v>
      </c>
      <c r="AE29" s="1">
        <v>2153</v>
      </c>
      <c r="AF29" s="1">
        <v>2464</v>
      </c>
      <c r="AG29" s="1">
        <v>2743</v>
      </c>
      <c r="AH29" s="1">
        <v>3059</v>
      </c>
      <c r="AI29" s="1">
        <v>3205</v>
      </c>
      <c r="AJ29" s="1">
        <v>3365</v>
      </c>
      <c r="AK29" s="1">
        <v>3678</v>
      </c>
      <c r="AL29" s="1">
        <v>3894</v>
      </c>
      <c r="AM29" s="1">
        <v>3921</v>
      </c>
      <c r="AN29" s="1">
        <v>4114</v>
      </c>
      <c r="AO29" s="1">
        <v>4374</v>
      </c>
      <c r="AP29" s="1">
        <v>4510</v>
      </c>
      <c r="AQ29" s="1">
        <v>4614</v>
      </c>
      <c r="AR29" s="1">
        <v>4949</v>
      </c>
      <c r="AS29" s="1">
        <v>5288</v>
      </c>
      <c r="AT29" s="1">
        <v>5153</v>
      </c>
      <c r="AU29" s="1">
        <v>5259</v>
      </c>
      <c r="AV29" s="1">
        <v>5244</v>
      </c>
      <c r="AW29" s="1">
        <v>5597</v>
      </c>
      <c r="AX29" s="1">
        <v>5913</v>
      </c>
      <c r="AY29" s="1">
        <v>6221</v>
      </c>
      <c r="AZ29" s="1">
        <v>2015</v>
      </c>
      <c r="BA29" s="1">
        <v>2259</v>
      </c>
      <c r="BB29" s="1">
        <v>2406</v>
      </c>
      <c r="BC29" s="1">
        <v>2639</v>
      </c>
      <c r="BD29" s="1">
        <v>2761</v>
      </c>
      <c r="BE29" s="1">
        <v>2898</v>
      </c>
      <c r="BF29" s="1">
        <v>3108</v>
      </c>
      <c r="BG29" s="1">
        <v>3369</v>
      </c>
      <c r="BH29" s="1">
        <v>3635</v>
      </c>
      <c r="BI29" s="1">
        <v>3741</v>
      </c>
      <c r="BJ29" s="1">
        <v>4114</v>
      </c>
      <c r="BK29" s="1">
        <v>4218</v>
      </c>
      <c r="BL29" s="1">
        <v>4367</v>
      </c>
      <c r="BM29" s="1">
        <v>4434</v>
      </c>
      <c r="BN29" s="1">
        <v>4738</v>
      </c>
      <c r="BO29" s="1">
        <v>4884</v>
      </c>
      <c r="BP29" s="1">
        <v>5183</v>
      </c>
      <c r="BQ29" s="1">
        <v>5454</v>
      </c>
      <c r="BR29" s="1">
        <v>5967</v>
      </c>
      <c r="BS29" s="1">
        <v>5869</v>
      </c>
      <c r="BT29" s="1">
        <v>5852</v>
      </c>
      <c r="BU29" s="1">
        <v>5984</v>
      </c>
      <c r="BV29" s="1">
        <v>6297</v>
      </c>
      <c r="BW29" s="1">
        <v>6640</v>
      </c>
      <c r="BX29" s="1">
        <v>6992</v>
      </c>
      <c r="BY29" s="1">
        <v>2313</v>
      </c>
      <c r="BZ29" s="1">
        <v>2479</v>
      </c>
      <c r="CA29" s="1">
        <v>2764</v>
      </c>
      <c r="CB29" s="1">
        <v>2980</v>
      </c>
      <c r="CC29" s="1">
        <v>3079</v>
      </c>
      <c r="CD29" s="1">
        <v>3288</v>
      </c>
      <c r="CE29" s="1">
        <v>3520</v>
      </c>
      <c r="CF29" s="1">
        <v>3727</v>
      </c>
      <c r="CG29" s="1">
        <v>3861</v>
      </c>
      <c r="CH29" s="1">
        <v>4047</v>
      </c>
      <c r="CI29" s="1">
        <v>4367</v>
      </c>
      <c r="CJ29" s="1">
        <v>4547</v>
      </c>
      <c r="CK29" s="1">
        <v>4985</v>
      </c>
      <c r="CL29" s="1">
        <v>5187</v>
      </c>
      <c r="CM29" s="1">
        <v>5232</v>
      </c>
      <c r="CN29" s="1">
        <v>5537</v>
      </c>
      <c r="CO29" s="1">
        <v>5851</v>
      </c>
      <c r="CP29" s="1">
        <v>6039</v>
      </c>
      <c r="CQ29" s="1">
        <v>6539</v>
      </c>
      <c r="CR29" s="1">
        <v>6436</v>
      </c>
      <c r="CS29" s="1">
        <v>6684</v>
      </c>
      <c r="CT29" s="1">
        <v>6801</v>
      </c>
      <c r="CU29" s="1">
        <v>7250</v>
      </c>
      <c r="CV29" s="1">
        <v>7662</v>
      </c>
      <c r="CW29" s="1">
        <v>8038</v>
      </c>
      <c r="CX29" s="1">
        <v>2493</v>
      </c>
      <c r="CY29" s="1">
        <v>2819</v>
      </c>
      <c r="CZ29" s="1">
        <v>3075</v>
      </c>
      <c r="DA29" s="1">
        <v>3395</v>
      </c>
      <c r="DB29" s="1">
        <v>3662</v>
      </c>
      <c r="DC29" s="1">
        <v>3733</v>
      </c>
      <c r="DD29" s="1">
        <v>4003</v>
      </c>
      <c r="DE29" s="1">
        <v>4126</v>
      </c>
      <c r="DF29" s="1">
        <v>4463</v>
      </c>
      <c r="DG29" s="1">
        <v>4625</v>
      </c>
      <c r="DH29" s="1">
        <v>4841</v>
      </c>
      <c r="DI29" s="1">
        <v>5087</v>
      </c>
      <c r="DJ29" s="1">
        <v>5482</v>
      </c>
      <c r="DK29" s="1">
        <v>5676</v>
      </c>
      <c r="DL29" s="1">
        <v>5860</v>
      </c>
      <c r="DM29" s="1">
        <v>6278</v>
      </c>
      <c r="DN29" s="1">
        <v>6372</v>
      </c>
      <c r="DO29" s="1">
        <v>6645</v>
      </c>
      <c r="DP29" s="1">
        <v>7288</v>
      </c>
      <c r="DQ29" s="1">
        <v>7194</v>
      </c>
      <c r="DR29" s="1">
        <v>7424</v>
      </c>
      <c r="DS29" s="1">
        <v>7728</v>
      </c>
      <c r="DT29" s="1">
        <v>8007</v>
      </c>
      <c r="DU29" s="1">
        <v>8462</v>
      </c>
      <c r="DV29" s="1">
        <v>8869</v>
      </c>
      <c r="DW29" s="1">
        <v>2893</v>
      </c>
      <c r="DX29" s="1">
        <v>3318</v>
      </c>
      <c r="DY29" s="1">
        <v>3544</v>
      </c>
      <c r="DZ29" s="1">
        <v>3985</v>
      </c>
      <c r="EA29" s="1">
        <v>4133</v>
      </c>
      <c r="EB29" s="1">
        <v>4428</v>
      </c>
      <c r="EC29" s="1">
        <v>4697</v>
      </c>
      <c r="ED29" s="1">
        <v>4962</v>
      </c>
      <c r="EE29" s="1">
        <v>5011</v>
      </c>
      <c r="EF29" s="1">
        <v>5252</v>
      </c>
      <c r="EG29" s="1">
        <v>5551</v>
      </c>
      <c r="EH29" s="1">
        <v>5677</v>
      </c>
      <c r="EI29" s="1">
        <v>5990</v>
      </c>
      <c r="EJ29" s="1">
        <v>6150</v>
      </c>
      <c r="EK29" s="1">
        <v>6627</v>
      </c>
      <c r="EL29" s="1">
        <v>6975</v>
      </c>
      <c r="EM29" s="1">
        <v>7475</v>
      </c>
      <c r="EN29" s="1">
        <v>7610</v>
      </c>
      <c r="EO29" s="1">
        <v>8030</v>
      </c>
      <c r="EP29" s="1">
        <v>7566</v>
      </c>
      <c r="EQ29" s="1">
        <v>8124</v>
      </c>
      <c r="ER29" s="1">
        <v>8333</v>
      </c>
      <c r="ES29" s="1">
        <v>8233</v>
      </c>
      <c r="ET29" s="1">
        <v>8701</v>
      </c>
      <c r="EU29" s="1">
        <v>9137</v>
      </c>
    </row>
    <row r="30" spans="1:151" x14ac:dyDescent="0.25">
      <c r="A30" t="s">
        <v>34</v>
      </c>
      <c r="B30" s="1">
        <v>54244</v>
      </c>
      <c r="C30" s="1">
        <v>58523</v>
      </c>
      <c r="D30" s="1">
        <v>61600</v>
      </c>
      <c r="E30" s="1">
        <v>64807</v>
      </c>
      <c r="F30" s="1">
        <v>67024</v>
      </c>
      <c r="G30" s="1">
        <v>69501</v>
      </c>
      <c r="H30" s="1">
        <v>72867</v>
      </c>
      <c r="I30" s="1">
        <v>76571</v>
      </c>
      <c r="J30" s="1">
        <v>80747</v>
      </c>
      <c r="K30" s="1">
        <v>83203</v>
      </c>
      <c r="L30" s="1">
        <v>83559</v>
      </c>
      <c r="M30" s="1">
        <v>86079</v>
      </c>
      <c r="N30" s="1">
        <v>88040</v>
      </c>
      <c r="O30" s="1">
        <v>89397</v>
      </c>
      <c r="P30" s="1">
        <v>90358</v>
      </c>
      <c r="Q30" s="1">
        <v>92395</v>
      </c>
      <c r="R30" s="1">
        <v>94536</v>
      </c>
      <c r="S30" s="1">
        <v>95717</v>
      </c>
      <c r="T30" s="1">
        <v>97781</v>
      </c>
      <c r="U30" s="1">
        <v>112177</v>
      </c>
      <c r="V30" s="1">
        <v>114161</v>
      </c>
      <c r="W30" s="1">
        <v>105210</v>
      </c>
      <c r="X30" s="1">
        <v>116160</v>
      </c>
      <c r="Y30" s="1">
        <v>129907</v>
      </c>
      <c r="Z30" s="1">
        <v>134389</v>
      </c>
      <c r="AA30" s="1">
        <v>5010</v>
      </c>
      <c r="AB30" s="1">
        <v>5658</v>
      </c>
      <c r="AC30" s="1">
        <v>5445</v>
      </c>
      <c r="AD30" s="1">
        <v>5504</v>
      </c>
      <c r="AE30" s="1">
        <v>5710</v>
      </c>
      <c r="AF30" s="1">
        <v>6205</v>
      </c>
      <c r="AG30" s="1">
        <v>7039</v>
      </c>
      <c r="AH30" s="1">
        <v>8204</v>
      </c>
      <c r="AI30" s="1">
        <v>8533</v>
      </c>
      <c r="AJ30" s="1">
        <v>8928</v>
      </c>
      <c r="AK30" s="1">
        <v>8850</v>
      </c>
      <c r="AL30" s="1">
        <v>9009</v>
      </c>
      <c r="AM30" s="1">
        <v>9078</v>
      </c>
      <c r="AN30" s="1">
        <v>9156</v>
      </c>
      <c r="AO30" s="1">
        <v>9225</v>
      </c>
      <c r="AP30" s="1">
        <v>10210</v>
      </c>
      <c r="AQ30" s="1">
        <v>9802</v>
      </c>
      <c r="AR30" s="1">
        <v>10698</v>
      </c>
      <c r="AS30" s="1">
        <v>10870</v>
      </c>
      <c r="AT30" s="1">
        <v>13046</v>
      </c>
      <c r="AU30" s="1">
        <v>10302</v>
      </c>
      <c r="AV30" s="1">
        <v>9057</v>
      </c>
      <c r="AW30" s="1">
        <v>16241</v>
      </c>
      <c r="AX30" s="1">
        <v>18174</v>
      </c>
      <c r="AY30" s="1">
        <v>18740</v>
      </c>
      <c r="AZ30" s="1">
        <v>7685</v>
      </c>
      <c r="BA30" s="1">
        <v>8143</v>
      </c>
      <c r="BB30" s="1">
        <v>8620</v>
      </c>
      <c r="BC30" s="1">
        <v>9162</v>
      </c>
      <c r="BD30" s="1">
        <v>9087</v>
      </c>
      <c r="BE30" s="1">
        <v>9613</v>
      </c>
      <c r="BF30" s="1">
        <v>10144</v>
      </c>
      <c r="BG30" s="1">
        <v>11018</v>
      </c>
      <c r="BH30" s="1">
        <v>12183</v>
      </c>
      <c r="BI30" s="1">
        <v>12801</v>
      </c>
      <c r="BJ30" s="1">
        <v>12584</v>
      </c>
      <c r="BK30" s="1">
        <v>13580</v>
      </c>
      <c r="BL30" s="1">
        <v>13040</v>
      </c>
      <c r="BM30" s="1">
        <v>13287</v>
      </c>
      <c r="BN30" s="1">
        <v>13143</v>
      </c>
      <c r="BO30" s="1">
        <v>13130</v>
      </c>
      <c r="BP30" s="1">
        <v>13920</v>
      </c>
      <c r="BQ30" s="1">
        <v>13298</v>
      </c>
      <c r="BR30" s="1">
        <v>13502</v>
      </c>
      <c r="BS30" s="1">
        <v>16084</v>
      </c>
      <c r="BT30" s="1">
        <v>15174</v>
      </c>
      <c r="BU30" s="1">
        <v>14404</v>
      </c>
      <c r="BV30" s="1">
        <v>16723</v>
      </c>
      <c r="BW30" s="1">
        <v>19131</v>
      </c>
      <c r="BX30" s="1">
        <v>19925</v>
      </c>
      <c r="BY30" s="1">
        <v>10670</v>
      </c>
      <c r="BZ30" s="1">
        <v>11079</v>
      </c>
      <c r="CA30" s="1">
        <v>12130</v>
      </c>
      <c r="CB30" s="1">
        <v>12742</v>
      </c>
      <c r="CC30" s="1">
        <v>12841</v>
      </c>
      <c r="CD30" s="1">
        <v>13039</v>
      </c>
      <c r="CE30" s="1">
        <v>13860</v>
      </c>
      <c r="CF30" s="1">
        <v>14470</v>
      </c>
      <c r="CG30" s="1">
        <v>14761</v>
      </c>
      <c r="CH30" s="1">
        <v>15043</v>
      </c>
      <c r="CI30" s="1">
        <v>15502</v>
      </c>
      <c r="CJ30" s="1">
        <v>15212</v>
      </c>
      <c r="CK30" s="1">
        <v>16165</v>
      </c>
      <c r="CL30" s="1">
        <v>16466</v>
      </c>
      <c r="CM30" s="1">
        <v>17650</v>
      </c>
      <c r="CN30" s="1">
        <v>17830</v>
      </c>
      <c r="CO30" s="1">
        <v>17759</v>
      </c>
      <c r="CP30" s="1">
        <v>18137</v>
      </c>
      <c r="CQ30" s="1">
        <v>18428</v>
      </c>
      <c r="CR30" s="1">
        <v>21355</v>
      </c>
      <c r="CS30" s="1">
        <v>23759</v>
      </c>
      <c r="CT30" s="1">
        <v>21668</v>
      </c>
      <c r="CU30" s="1">
        <v>22068</v>
      </c>
      <c r="CV30" s="1">
        <v>24242</v>
      </c>
      <c r="CW30" s="1">
        <v>24942</v>
      </c>
      <c r="CX30" s="1">
        <v>12411</v>
      </c>
      <c r="CY30" s="1">
        <v>13817</v>
      </c>
      <c r="CZ30" s="1">
        <v>14761</v>
      </c>
      <c r="DA30" s="1">
        <v>15534</v>
      </c>
      <c r="DB30" s="1">
        <v>16779</v>
      </c>
      <c r="DC30" s="1">
        <v>16883</v>
      </c>
      <c r="DD30" s="1">
        <v>17432</v>
      </c>
      <c r="DE30" s="1">
        <v>17399</v>
      </c>
      <c r="DF30" s="1">
        <v>18090</v>
      </c>
      <c r="DG30" s="1">
        <v>19156</v>
      </c>
      <c r="DH30" s="1">
        <v>19244</v>
      </c>
      <c r="DI30" s="1">
        <v>20366</v>
      </c>
      <c r="DJ30" s="1">
        <v>21292</v>
      </c>
      <c r="DK30" s="1">
        <v>21448</v>
      </c>
      <c r="DL30" s="1">
        <v>21935</v>
      </c>
      <c r="DM30" s="1">
        <v>21813</v>
      </c>
      <c r="DN30" s="1">
        <v>22389</v>
      </c>
      <c r="DO30" s="1">
        <v>22321</v>
      </c>
      <c r="DP30" s="1">
        <v>23049</v>
      </c>
      <c r="DQ30" s="1">
        <v>26289</v>
      </c>
      <c r="DR30" s="1">
        <v>29531</v>
      </c>
      <c r="DS30" s="1">
        <v>27775</v>
      </c>
      <c r="DT30" s="1">
        <v>27353</v>
      </c>
      <c r="DU30" s="1">
        <v>30068</v>
      </c>
      <c r="DV30" s="1">
        <v>31072</v>
      </c>
      <c r="DW30" s="1">
        <v>18468</v>
      </c>
      <c r="DX30" s="1">
        <v>19826</v>
      </c>
      <c r="DY30" s="1">
        <v>20644</v>
      </c>
      <c r="DZ30" s="1">
        <v>21865</v>
      </c>
      <c r="EA30" s="1">
        <v>22607</v>
      </c>
      <c r="EB30" s="1">
        <v>23761</v>
      </c>
      <c r="EC30" s="1">
        <v>24392</v>
      </c>
      <c r="ED30" s="1">
        <v>25480</v>
      </c>
      <c r="EE30" s="1">
        <v>27180</v>
      </c>
      <c r="EF30" s="1">
        <v>27275</v>
      </c>
      <c r="EG30" s="1">
        <v>27379</v>
      </c>
      <c r="EH30" s="1">
        <v>27912</v>
      </c>
      <c r="EI30" s="1">
        <v>28465</v>
      </c>
      <c r="EJ30" s="1">
        <v>29040</v>
      </c>
      <c r="EK30" s="1">
        <v>28405</v>
      </c>
      <c r="EL30" s="1">
        <v>29412</v>
      </c>
      <c r="EM30" s="1">
        <v>30666</v>
      </c>
      <c r="EN30" s="1">
        <v>31263</v>
      </c>
      <c r="EO30" s="1">
        <v>31932</v>
      </c>
      <c r="EP30" s="1">
        <v>35403</v>
      </c>
      <c r="EQ30" s="1">
        <v>35395</v>
      </c>
      <c r="ER30" s="1">
        <v>32306</v>
      </c>
      <c r="ES30" s="1">
        <v>33775</v>
      </c>
      <c r="ET30" s="1">
        <v>38292</v>
      </c>
      <c r="EU30" s="1">
        <v>39710</v>
      </c>
    </row>
    <row r="31" spans="1:151" x14ac:dyDescent="0.25">
      <c r="A31" t="s">
        <v>35</v>
      </c>
      <c r="B31" s="1">
        <v>5618</v>
      </c>
      <c r="C31" s="1">
        <v>5940</v>
      </c>
      <c r="D31" s="1">
        <v>6346</v>
      </c>
      <c r="E31" s="1">
        <v>6936</v>
      </c>
      <c r="F31" s="1">
        <v>7873</v>
      </c>
      <c r="G31" s="1">
        <v>8326</v>
      </c>
      <c r="H31" s="1">
        <v>8991</v>
      </c>
      <c r="I31" s="1">
        <v>9562</v>
      </c>
      <c r="J31" s="1">
        <v>10189</v>
      </c>
      <c r="K31" s="1">
        <v>10973</v>
      </c>
      <c r="L31" s="1">
        <v>11838</v>
      </c>
      <c r="M31" s="1">
        <v>12578</v>
      </c>
      <c r="N31" s="1">
        <v>13347</v>
      </c>
      <c r="O31" s="1">
        <v>14235</v>
      </c>
      <c r="P31" s="1">
        <v>15168</v>
      </c>
      <c r="Q31" s="1">
        <v>15012</v>
      </c>
      <c r="R31" s="1">
        <v>15786</v>
      </c>
      <c r="S31" s="1">
        <v>16551</v>
      </c>
      <c r="T31" s="1">
        <v>20681</v>
      </c>
      <c r="U31" s="1">
        <v>16110</v>
      </c>
      <c r="V31" s="1">
        <v>16901</v>
      </c>
      <c r="W31" s="1">
        <v>16419</v>
      </c>
      <c r="X31" s="1">
        <v>17021</v>
      </c>
      <c r="Y31" s="1">
        <v>18470</v>
      </c>
      <c r="Z31" s="1">
        <v>19844</v>
      </c>
      <c r="AA31">
        <v>880</v>
      </c>
      <c r="AB31">
        <v>920</v>
      </c>
      <c r="AC31">
        <v>936</v>
      </c>
      <c r="AD31" s="1">
        <v>1018</v>
      </c>
      <c r="AE31" s="1">
        <v>1224</v>
      </c>
      <c r="AF31" s="1">
        <v>1436</v>
      </c>
      <c r="AG31" s="1">
        <v>1649</v>
      </c>
      <c r="AH31" s="1">
        <v>1843</v>
      </c>
      <c r="AI31" s="1">
        <v>1960</v>
      </c>
      <c r="AJ31" s="1">
        <v>2172</v>
      </c>
      <c r="AK31" s="1">
        <v>2429</v>
      </c>
      <c r="AL31" s="1">
        <v>2482</v>
      </c>
      <c r="AM31" s="1">
        <v>2587</v>
      </c>
      <c r="AN31" s="1">
        <v>2862</v>
      </c>
      <c r="AO31" s="1">
        <v>3340</v>
      </c>
      <c r="AP31" s="1">
        <v>3242</v>
      </c>
      <c r="AQ31" s="1">
        <v>3659</v>
      </c>
      <c r="AR31" s="1">
        <v>3878</v>
      </c>
      <c r="AS31" s="1">
        <v>4338</v>
      </c>
      <c r="AT31" s="1">
        <v>3523</v>
      </c>
      <c r="AU31" s="1">
        <v>3480</v>
      </c>
      <c r="AV31" s="1">
        <v>3265</v>
      </c>
      <c r="AW31" s="1">
        <v>3410</v>
      </c>
      <c r="AX31" s="1">
        <v>3701</v>
      </c>
      <c r="AY31" s="1">
        <v>4055</v>
      </c>
      <c r="AZ31">
        <v>858</v>
      </c>
      <c r="BA31">
        <v>851</v>
      </c>
      <c r="BB31">
        <v>954</v>
      </c>
      <c r="BC31" s="1">
        <v>1057</v>
      </c>
      <c r="BD31" s="1">
        <v>1230</v>
      </c>
      <c r="BE31" s="1">
        <v>1318</v>
      </c>
      <c r="BF31" s="1">
        <v>1382</v>
      </c>
      <c r="BG31" s="1">
        <v>1449</v>
      </c>
      <c r="BH31" s="1">
        <v>1550</v>
      </c>
      <c r="BI31" s="1">
        <v>1711</v>
      </c>
      <c r="BJ31" s="1">
        <v>1653</v>
      </c>
      <c r="BK31" s="1">
        <v>1870</v>
      </c>
      <c r="BL31" s="1">
        <v>2163</v>
      </c>
      <c r="BM31" s="1">
        <v>2097</v>
      </c>
      <c r="BN31" s="1">
        <v>2022</v>
      </c>
      <c r="BO31" s="1">
        <v>1993</v>
      </c>
      <c r="BP31" s="1">
        <v>2109</v>
      </c>
      <c r="BQ31" s="1">
        <v>2268</v>
      </c>
      <c r="BR31" s="1">
        <v>2591</v>
      </c>
      <c r="BS31" s="1">
        <v>2121</v>
      </c>
      <c r="BT31" s="1">
        <v>1879</v>
      </c>
      <c r="BU31" s="1">
        <v>1808</v>
      </c>
      <c r="BV31" s="1">
        <v>2116</v>
      </c>
      <c r="BW31" s="1">
        <v>2147</v>
      </c>
      <c r="BX31" s="1">
        <v>2346</v>
      </c>
      <c r="BY31" s="1">
        <v>1101</v>
      </c>
      <c r="BZ31" s="1">
        <v>1128</v>
      </c>
      <c r="CA31" s="1">
        <v>1152</v>
      </c>
      <c r="CB31" s="1">
        <v>1190</v>
      </c>
      <c r="CC31" s="1">
        <v>1344</v>
      </c>
      <c r="CD31" s="1">
        <v>1386</v>
      </c>
      <c r="CE31" s="1">
        <v>1502</v>
      </c>
      <c r="CF31" s="1">
        <v>1699</v>
      </c>
      <c r="CG31" s="1">
        <v>1693</v>
      </c>
      <c r="CH31" s="1">
        <v>1748</v>
      </c>
      <c r="CI31" s="1">
        <v>1957</v>
      </c>
      <c r="CJ31" s="1">
        <v>2130</v>
      </c>
      <c r="CK31" s="1">
        <v>2223</v>
      </c>
      <c r="CL31" s="1">
        <v>2488</v>
      </c>
      <c r="CM31" s="1">
        <v>2414</v>
      </c>
      <c r="CN31" s="1">
        <v>2514</v>
      </c>
      <c r="CO31" s="1">
        <v>2403</v>
      </c>
      <c r="CP31" s="1">
        <v>2564</v>
      </c>
      <c r="CQ31" s="1">
        <v>3071</v>
      </c>
      <c r="CR31" s="1">
        <v>2383</v>
      </c>
      <c r="CS31" s="1">
        <v>2503</v>
      </c>
      <c r="CT31" s="1">
        <v>2563</v>
      </c>
      <c r="CU31" s="1">
        <v>2565</v>
      </c>
      <c r="CV31" s="1">
        <v>2895</v>
      </c>
      <c r="CW31" s="1">
        <v>3002</v>
      </c>
      <c r="CX31" s="1">
        <v>1266</v>
      </c>
      <c r="CY31" s="1">
        <v>1326</v>
      </c>
      <c r="CZ31" s="1">
        <v>1530</v>
      </c>
      <c r="DA31" s="1">
        <v>1702</v>
      </c>
      <c r="DB31" s="1">
        <v>1928</v>
      </c>
      <c r="DC31" s="1">
        <v>1729</v>
      </c>
      <c r="DD31" s="1">
        <v>1997</v>
      </c>
      <c r="DE31" s="1">
        <v>2145</v>
      </c>
      <c r="DF31" s="1">
        <v>2388</v>
      </c>
      <c r="DG31" s="1">
        <v>2456</v>
      </c>
      <c r="DH31" s="1">
        <v>2552</v>
      </c>
      <c r="DI31" s="1">
        <v>2690</v>
      </c>
      <c r="DJ31" s="1">
        <v>2758</v>
      </c>
      <c r="DK31" s="1">
        <v>2830</v>
      </c>
      <c r="DL31" s="1">
        <v>3127</v>
      </c>
      <c r="DM31" s="1">
        <v>2896</v>
      </c>
      <c r="DN31" s="1">
        <v>3192</v>
      </c>
      <c r="DO31" s="1">
        <v>3271</v>
      </c>
      <c r="DP31" s="1">
        <v>3861</v>
      </c>
      <c r="DQ31" s="1">
        <v>3218</v>
      </c>
      <c r="DR31" s="1">
        <v>3434</v>
      </c>
      <c r="DS31" s="1">
        <v>3087</v>
      </c>
      <c r="DT31" s="1">
        <v>3256</v>
      </c>
      <c r="DU31" s="1">
        <v>3522</v>
      </c>
      <c r="DV31" s="1">
        <v>3774</v>
      </c>
      <c r="DW31" s="1">
        <v>1513</v>
      </c>
      <c r="DX31" s="1">
        <v>1715</v>
      </c>
      <c r="DY31" s="1">
        <v>1774</v>
      </c>
      <c r="DZ31" s="1">
        <v>1969</v>
      </c>
      <c r="EA31" s="1">
        <v>2147</v>
      </c>
      <c r="EB31" s="1">
        <v>2457</v>
      </c>
      <c r="EC31" s="1">
        <v>2461</v>
      </c>
      <c r="ED31" s="1">
        <v>2426</v>
      </c>
      <c r="EE31" s="1">
        <v>2598</v>
      </c>
      <c r="EF31" s="1">
        <v>2886</v>
      </c>
      <c r="EG31" s="1">
        <v>3247</v>
      </c>
      <c r="EH31" s="1">
        <v>3406</v>
      </c>
      <c r="EI31" s="1">
        <v>3616</v>
      </c>
      <c r="EJ31" s="1">
        <v>3958</v>
      </c>
      <c r="EK31" s="1">
        <v>4265</v>
      </c>
      <c r="EL31" s="1">
        <v>4367</v>
      </c>
      <c r="EM31" s="1">
        <v>4423</v>
      </c>
      <c r="EN31" s="1">
        <v>4570</v>
      </c>
      <c r="EO31" s="1">
        <v>6820</v>
      </c>
      <c r="EP31" s="1">
        <v>4865</v>
      </c>
      <c r="EQ31" s="1">
        <v>5605</v>
      </c>
      <c r="ER31" s="1">
        <v>5696</v>
      </c>
      <c r="ES31" s="1">
        <v>5674</v>
      </c>
      <c r="ET31" s="1">
        <v>6205</v>
      </c>
      <c r="EU31" s="1">
        <v>6667</v>
      </c>
    </row>
    <row r="32" spans="1:151" x14ac:dyDescent="0.25">
      <c r="A32" t="s">
        <v>36</v>
      </c>
      <c r="B32" s="1">
        <v>40467</v>
      </c>
      <c r="C32" s="1">
        <v>43435</v>
      </c>
      <c r="D32" s="1">
        <v>45449</v>
      </c>
      <c r="E32" s="1">
        <v>47042</v>
      </c>
      <c r="F32" s="1">
        <v>48631</v>
      </c>
      <c r="G32" s="1">
        <v>50961</v>
      </c>
      <c r="H32" s="1">
        <v>54283</v>
      </c>
      <c r="I32" s="1">
        <v>57591</v>
      </c>
      <c r="J32" s="1">
        <v>61374</v>
      </c>
      <c r="K32" s="1">
        <v>64439</v>
      </c>
      <c r="L32" s="1">
        <v>64620</v>
      </c>
      <c r="M32" s="1">
        <v>67606</v>
      </c>
      <c r="N32" s="1">
        <v>70736</v>
      </c>
      <c r="O32" s="1">
        <v>74115</v>
      </c>
      <c r="P32" s="1">
        <v>77153</v>
      </c>
      <c r="Q32" s="1">
        <v>80380</v>
      </c>
      <c r="R32" s="1">
        <v>83572</v>
      </c>
      <c r="S32" s="1">
        <v>85392</v>
      </c>
      <c r="T32" s="1">
        <v>86508</v>
      </c>
      <c r="U32" s="1">
        <v>96227</v>
      </c>
      <c r="V32" s="1">
        <v>100433</v>
      </c>
      <c r="W32" s="1">
        <v>68772</v>
      </c>
      <c r="X32" s="1">
        <v>79834</v>
      </c>
      <c r="Y32" s="1">
        <v>104832</v>
      </c>
      <c r="Z32" s="1">
        <v>116408</v>
      </c>
      <c r="AA32" s="1">
        <v>3027</v>
      </c>
      <c r="AB32" s="1">
        <v>3771</v>
      </c>
      <c r="AC32" s="1">
        <v>3184</v>
      </c>
      <c r="AD32" s="1">
        <v>3573</v>
      </c>
      <c r="AE32" s="1">
        <v>3598</v>
      </c>
      <c r="AF32" s="1">
        <v>4048</v>
      </c>
      <c r="AG32" s="1">
        <v>4912</v>
      </c>
      <c r="AH32" s="1">
        <v>5343</v>
      </c>
      <c r="AI32" s="1">
        <v>5910</v>
      </c>
      <c r="AJ32" s="1">
        <v>6112</v>
      </c>
      <c r="AK32" s="1">
        <v>6550</v>
      </c>
      <c r="AL32" s="1">
        <v>6486</v>
      </c>
      <c r="AM32" s="1">
        <v>6356</v>
      </c>
      <c r="AN32" s="1">
        <v>7142</v>
      </c>
      <c r="AO32" s="1">
        <v>7656</v>
      </c>
      <c r="AP32" s="1">
        <v>7859</v>
      </c>
      <c r="AQ32" s="1">
        <v>8070</v>
      </c>
      <c r="AR32" s="1">
        <v>8075</v>
      </c>
      <c r="AS32" s="1">
        <v>7989</v>
      </c>
      <c r="AT32" s="1">
        <v>9246</v>
      </c>
      <c r="AU32" s="1">
        <v>9870</v>
      </c>
      <c r="AV32" s="1">
        <v>2851</v>
      </c>
      <c r="AW32" s="1">
        <v>3387</v>
      </c>
      <c r="AX32" s="1">
        <v>4489</v>
      </c>
      <c r="AY32" s="1">
        <v>5001</v>
      </c>
      <c r="AZ32" s="1">
        <v>5260</v>
      </c>
      <c r="BA32" s="1">
        <v>5232</v>
      </c>
      <c r="BB32" s="1">
        <v>5734</v>
      </c>
      <c r="BC32" s="1">
        <v>5639</v>
      </c>
      <c r="BD32" s="1">
        <v>6123</v>
      </c>
      <c r="BE32" s="1">
        <v>6432</v>
      </c>
      <c r="BF32" s="1">
        <v>6870</v>
      </c>
      <c r="BG32" s="1">
        <v>7523</v>
      </c>
      <c r="BH32" s="1">
        <v>8366</v>
      </c>
      <c r="BI32" s="1">
        <v>8825</v>
      </c>
      <c r="BJ32" s="1">
        <v>8700</v>
      </c>
      <c r="BK32" s="1">
        <v>8780</v>
      </c>
      <c r="BL32" s="1">
        <v>9125</v>
      </c>
      <c r="BM32" s="1">
        <v>9774</v>
      </c>
      <c r="BN32" s="1">
        <v>9843</v>
      </c>
      <c r="BO32" s="1">
        <v>9831</v>
      </c>
      <c r="BP32" s="1">
        <v>10129</v>
      </c>
      <c r="BQ32" s="1">
        <v>10846</v>
      </c>
      <c r="BR32" s="1">
        <v>11350</v>
      </c>
      <c r="BS32" s="1">
        <v>12831</v>
      </c>
      <c r="BT32" s="1">
        <v>13361</v>
      </c>
      <c r="BU32" s="1">
        <v>8192</v>
      </c>
      <c r="BV32" s="1">
        <v>9508</v>
      </c>
      <c r="BW32" s="1">
        <v>12592</v>
      </c>
      <c r="BX32" s="1">
        <v>13806</v>
      </c>
      <c r="BY32" s="1">
        <v>7209</v>
      </c>
      <c r="BZ32" s="1">
        <v>7700</v>
      </c>
      <c r="CA32" s="1">
        <v>8351</v>
      </c>
      <c r="CB32" s="1">
        <v>8739</v>
      </c>
      <c r="CC32" s="1">
        <v>8833</v>
      </c>
      <c r="CD32" s="1">
        <v>9186</v>
      </c>
      <c r="CE32" s="1">
        <v>9700</v>
      </c>
      <c r="CF32" s="1">
        <v>10405</v>
      </c>
      <c r="CG32" s="1">
        <v>10750</v>
      </c>
      <c r="CH32" s="1">
        <v>12023</v>
      </c>
      <c r="CI32" s="1">
        <v>11537</v>
      </c>
      <c r="CJ32" s="1">
        <v>11620</v>
      </c>
      <c r="CK32" s="1">
        <v>12163</v>
      </c>
      <c r="CL32" s="1">
        <v>12722</v>
      </c>
      <c r="CM32" s="1">
        <v>13093</v>
      </c>
      <c r="CN32" s="1">
        <v>14628</v>
      </c>
      <c r="CO32" s="1">
        <v>14727</v>
      </c>
      <c r="CP32" s="1">
        <v>14780</v>
      </c>
      <c r="CQ32" s="1">
        <v>15627</v>
      </c>
      <c r="CR32" s="1">
        <v>17632</v>
      </c>
      <c r="CS32" s="1">
        <v>17993</v>
      </c>
      <c r="CT32" s="1">
        <v>12834</v>
      </c>
      <c r="CU32" s="1">
        <v>15355</v>
      </c>
      <c r="CV32" s="1">
        <v>20146</v>
      </c>
      <c r="CW32" s="1">
        <v>22427</v>
      </c>
      <c r="CX32" s="1">
        <v>10156</v>
      </c>
      <c r="CY32" s="1">
        <v>10744</v>
      </c>
      <c r="CZ32" s="1">
        <v>11654</v>
      </c>
      <c r="DA32" s="1">
        <v>11476</v>
      </c>
      <c r="DB32" s="1">
        <v>12225</v>
      </c>
      <c r="DC32" s="1">
        <v>12614</v>
      </c>
      <c r="DD32" s="1">
        <v>13019</v>
      </c>
      <c r="DE32" s="1">
        <v>13482</v>
      </c>
      <c r="DF32" s="1">
        <v>14463</v>
      </c>
      <c r="DG32" s="1">
        <v>15065</v>
      </c>
      <c r="DH32" s="1">
        <v>15380</v>
      </c>
      <c r="DI32" s="1">
        <v>16576</v>
      </c>
      <c r="DJ32" s="1">
        <v>17613</v>
      </c>
      <c r="DK32" s="1">
        <v>17506</v>
      </c>
      <c r="DL32" s="1">
        <v>18874</v>
      </c>
      <c r="DM32" s="1">
        <v>18891</v>
      </c>
      <c r="DN32" s="1">
        <v>19633</v>
      </c>
      <c r="DO32" s="1">
        <v>20536</v>
      </c>
      <c r="DP32" s="1">
        <v>20848</v>
      </c>
      <c r="DQ32" s="1">
        <v>22211</v>
      </c>
      <c r="DR32" s="1">
        <v>22988</v>
      </c>
      <c r="DS32" s="1">
        <v>16990</v>
      </c>
      <c r="DT32" s="1">
        <v>19902</v>
      </c>
      <c r="DU32" s="1">
        <v>25804</v>
      </c>
      <c r="DV32" s="1">
        <v>28687</v>
      </c>
      <c r="DW32" s="1">
        <v>14815</v>
      </c>
      <c r="DX32" s="1">
        <v>15988</v>
      </c>
      <c r="DY32" s="1">
        <v>16526</v>
      </c>
      <c r="DZ32" s="1">
        <v>17615</v>
      </c>
      <c r="EA32" s="1">
        <v>17852</v>
      </c>
      <c r="EB32" s="1">
        <v>18681</v>
      </c>
      <c r="EC32" s="1">
        <v>19782</v>
      </c>
      <c r="ED32" s="1">
        <v>20838</v>
      </c>
      <c r="EE32" s="1">
        <v>21885</v>
      </c>
      <c r="EF32" s="1">
        <v>22414</v>
      </c>
      <c r="EG32" s="1">
        <v>22453</v>
      </c>
      <c r="EH32" s="1">
        <v>24144</v>
      </c>
      <c r="EI32" s="1">
        <v>25479</v>
      </c>
      <c r="EJ32" s="1">
        <v>26971</v>
      </c>
      <c r="EK32" s="1">
        <v>27687</v>
      </c>
      <c r="EL32" s="1">
        <v>29171</v>
      </c>
      <c r="EM32" s="1">
        <v>31013</v>
      </c>
      <c r="EN32" s="1">
        <v>31155</v>
      </c>
      <c r="EO32" s="1">
        <v>30694</v>
      </c>
      <c r="EP32" s="1">
        <v>34307</v>
      </c>
      <c r="EQ32" s="1">
        <v>36221</v>
      </c>
      <c r="ER32" s="1">
        <v>27905</v>
      </c>
      <c r="ES32" s="1">
        <v>31682</v>
      </c>
      <c r="ET32" s="1">
        <v>41801</v>
      </c>
      <c r="EU32" s="1">
        <v>46488</v>
      </c>
    </row>
    <row r="33" spans="1:151" x14ac:dyDescent="0.25">
      <c r="A33" t="s">
        <v>37</v>
      </c>
      <c r="B33" s="1">
        <v>47414</v>
      </c>
      <c r="C33" s="1">
        <v>50718</v>
      </c>
      <c r="D33" s="1">
        <v>51954</v>
      </c>
      <c r="E33" s="1">
        <v>55832</v>
      </c>
      <c r="F33" s="1">
        <v>57839</v>
      </c>
      <c r="G33" s="1">
        <v>62240</v>
      </c>
      <c r="H33" s="1">
        <v>66978</v>
      </c>
      <c r="I33" s="1">
        <v>71411</v>
      </c>
      <c r="J33" s="1">
        <v>77358</v>
      </c>
      <c r="K33" s="1">
        <v>78026</v>
      </c>
      <c r="L33" s="1">
        <v>74669</v>
      </c>
      <c r="M33" s="1">
        <v>80704</v>
      </c>
      <c r="N33" s="1">
        <v>84381</v>
      </c>
      <c r="O33" s="1">
        <v>84478</v>
      </c>
      <c r="P33" s="1">
        <v>88828</v>
      </c>
      <c r="Q33" s="1">
        <v>94556</v>
      </c>
      <c r="R33" s="1">
        <v>98811</v>
      </c>
      <c r="S33" s="1">
        <v>101962</v>
      </c>
      <c r="T33" s="1">
        <v>108202</v>
      </c>
      <c r="U33" s="1">
        <v>103247</v>
      </c>
      <c r="V33" s="1">
        <v>106804</v>
      </c>
      <c r="W33" s="1">
        <v>109682</v>
      </c>
      <c r="X33" s="1">
        <v>119130</v>
      </c>
      <c r="Y33" s="1">
        <v>123259</v>
      </c>
      <c r="Z33" s="1">
        <v>121084</v>
      </c>
      <c r="AA33" s="1">
        <v>3302</v>
      </c>
      <c r="AB33" s="1">
        <v>3759</v>
      </c>
      <c r="AC33" s="1">
        <v>3499</v>
      </c>
      <c r="AD33" s="1">
        <v>4163</v>
      </c>
      <c r="AE33" s="1">
        <v>3946</v>
      </c>
      <c r="AF33" s="1">
        <v>4629</v>
      </c>
      <c r="AG33" s="1">
        <v>5246</v>
      </c>
      <c r="AH33" s="1">
        <v>6100</v>
      </c>
      <c r="AI33" s="1">
        <v>6869</v>
      </c>
      <c r="AJ33" s="1">
        <v>7189</v>
      </c>
      <c r="AK33" s="1">
        <v>6293</v>
      </c>
      <c r="AL33" s="1">
        <v>6811</v>
      </c>
      <c r="AM33" s="1">
        <v>7752</v>
      </c>
      <c r="AN33" s="1">
        <v>7606</v>
      </c>
      <c r="AO33" s="1">
        <v>8012</v>
      </c>
      <c r="AP33" s="1">
        <v>8773</v>
      </c>
      <c r="AQ33" s="1">
        <v>9008</v>
      </c>
      <c r="AR33" s="1">
        <v>8988</v>
      </c>
      <c r="AS33" s="1">
        <v>10357</v>
      </c>
      <c r="AT33" s="1">
        <v>9939</v>
      </c>
      <c r="AU33" s="1">
        <v>14057</v>
      </c>
      <c r="AV33" s="1">
        <v>15383</v>
      </c>
      <c r="AW33" s="1">
        <v>16739</v>
      </c>
      <c r="AX33" s="1">
        <v>17306</v>
      </c>
      <c r="AY33" s="1">
        <v>16988</v>
      </c>
      <c r="AZ33" s="1">
        <v>5569</v>
      </c>
      <c r="BA33" s="1">
        <v>5895</v>
      </c>
      <c r="BB33" s="1">
        <v>6043</v>
      </c>
      <c r="BC33" s="1">
        <v>6574</v>
      </c>
      <c r="BD33" s="1">
        <v>7405</v>
      </c>
      <c r="BE33" s="1">
        <v>7706</v>
      </c>
      <c r="BF33" s="1">
        <v>8064</v>
      </c>
      <c r="BG33" s="1">
        <v>8822</v>
      </c>
      <c r="BH33" s="1">
        <v>9796</v>
      </c>
      <c r="BI33" s="1">
        <v>10298</v>
      </c>
      <c r="BJ33" s="1">
        <v>9370</v>
      </c>
      <c r="BK33" s="1">
        <v>9838</v>
      </c>
      <c r="BL33" s="1">
        <v>10336</v>
      </c>
      <c r="BM33" s="1">
        <v>10127</v>
      </c>
      <c r="BN33" s="1">
        <v>10372</v>
      </c>
      <c r="BO33" s="1">
        <v>11085</v>
      </c>
      <c r="BP33" s="1">
        <v>11610</v>
      </c>
      <c r="BQ33" s="1">
        <v>11432</v>
      </c>
      <c r="BR33" s="1">
        <v>12734</v>
      </c>
      <c r="BS33" s="1">
        <v>12585</v>
      </c>
      <c r="BT33" s="1">
        <v>15527</v>
      </c>
      <c r="BU33" s="1">
        <v>16155</v>
      </c>
      <c r="BV33" s="1">
        <v>17640</v>
      </c>
      <c r="BW33" s="1">
        <v>18182</v>
      </c>
      <c r="BX33" s="1">
        <v>18078</v>
      </c>
      <c r="BY33" s="1">
        <v>8112</v>
      </c>
      <c r="BZ33" s="1">
        <v>8666</v>
      </c>
      <c r="CA33" s="1">
        <v>8646</v>
      </c>
      <c r="CB33" s="1">
        <v>9056</v>
      </c>
      <c r="CC33" s="1">
        <v>9131</v>
      </c>
      <c r="CD33" s="1">
        <v>10037</v>
      </c>
      <c r="CE33" s="1">
        <v>10444</v>
      </c>
      <c r="CF33" s="1">
        <v>11563</v>
      </c>
      <c r="CG33" s="1">
        <v>11874</v>
      </c>
      <c r="CH33" s="1">
        <v>11703</v>
      </c>
      <c r="CI33" s="1">
        <v>11400</v>
      </c>
      <c r="CJ33" s="1">
        <v>13077</v>
      </c>
      <c r="CK33" s="1">
        <v>13811</v>
      </c>
      <c r="CL33" s="1">
        <v>14525</v>
      </c>
      <c r="CM33" s="1">
        <v>14078</v>
      </c>
      <c r="CN33" s="1">
        <v>15156</v>
      </c>
      <c r="CO33" s="1">
        <v>15133</v>
      </c>
      <c r="CP33" s="1">
        <v>15775</v>
      </c>
      <c r="CQ33" s="1">
        <v>16679</v>
      </c>
      <c r="CR33" s="1">
        <v>16835</v>
      </c>
      <c r="CS33" s="1">
        <v>19428</v>
      </c>
      <c r="CT33" s="1">
        <v>20164</v>
      </c>
      <c r="CU33" s="1">
        <v>22546</v>
      </c>
      <c r="CV33" s="1">
        <v>23376</v>
      </c>
      <c r="CW33" s="1">
        <v>22736</v>
      </c>
      <c r="CX33" s="1">
        <v>10147</v>
      </c>
      <c r="CY33" s="1">
        <v>10474</v>
      </c>
      <c r="CZ33" s="1">
        <v>11524</v>
      </c>
      <c r="DA33" s="1">
        <v>11760</v>
      </c>
      <c r="DB33" s="1">
        <v>12756</v>
      </c>
      <c r="DC33" s="1">
        <v>12595</v>
      </c>
      <c r="DD33" s="1">
        <v>13531</v>
      </c>
      <c r="DE33" s="1">
        <v>14301</v>
      </c>
      <c r="DF33" s="1">
        <v>15377</v>
      </c>
      <c r="DG33" s="1">
        <v>14979</v>
      </c>
      <c r="DH33" s="1">
        <v>14985</v>
      </c>
      <c r="DI33" s="1">
        <v>16661</v>
      </c>
      <c r="DJ33" s="1">
        <v>17607</v>
      </c>
      <c r="DK33" s="1">
        <v>17602</v>
      </c>
      <c r="DL33" s="1">
        <v>18651</v>
      </c>
      <c r="DM33" s="1">
        <v>19696</v>
      </c>
      <c r="DN33" s="1">
        <v>21422</v>
      </c>
      <c r="DO33" s="1">
        <v>22667</v>
      </c>
      <c r="DP33" s="1">
        <v>23515</v>
      </c>
      <c r="DQ33" s="1">
        <v>22231</v>
      </c>
      <c r="DR33" s="1">
        <v>22089</v>
      </c>
      <c r="DS33" s="1">
        <v>22834</v>
      </c>
      <c r="DT33" s="1">
        <v>25044</v>
      </c>
      <c r="DU33" s="1">
        <v>25879</v>
      </c>
      <c r="DV33" s="1">
        <v>25383</v>
      </c>
      <c r="DW33" s="1">
        <v>20284</v>
      </c>
      <c r="DX33" s="1">
        <v>21924</v>
      </c>
      <c r="DY33" s="1">
        <v>22242</v>
      </c>
      <c r="DZ33" s="1">
        <v>24279</v>
      </c>
      <c r="EA33" s="1">
        <v>24601</v>
      </c>
      <c r="EB33" s="1">
        <v>27273</v>
      </c>
      <c r="EC33" s="1">
        <v>29693</v>
      </c>
      <c r="ED33" s="1">
        <v>30625</v>
      </c>
      <c r="EE33" s="1">
        <v>33442</v>
      </c>
      <c r="EF33" s="1">
        <v>33857</v>
      </c>
      <c r="EG33" s="1">
        <v>32621</v>
      </c>
      <c r="EH33" s="1">
        <v>34317</v>
      </c>
      <c r="EI33" s="1">
        <v>34875</v>
      </c>
      <c r="EJ33" s="1">
        <v>34618</v>
      </c>
      <c r="EK33" s="1">
        <v>37715</v>
      </c>
      <c r="EL33" s="1">
        <v>39846</v>
      </c>
      <c r="EM33" s="1">
        <v>41638</v>
      </c>
      <c r="EN33" s="1">
        <v>43100</v>
      </c>
      <c r="EO33" s="1">
        <v>44917</v>
      </c>
      <c r="EP33" s="1">
        <v>41657</v>
      </c>
      <c r="EQ33" s="1">
        <v>35703</v>
      </c>
      <c r="ER33" s="1">
        <v>35146</v>
      </c>
      <c r="ES33" s="1">
        <v>37161</v>
      </c>
      <c r="ET33" s="1">
        <v>38516</v>
      </c>
      <c r="EU33" s="1">
        <v>37900</v>
      </c>
    </row>
    <row r="34" spans="1:151" x14ac:dyDescent="0.25">
      <c r="A34" t="s">
        <v>38</v>
      </c>
      <c r="B34" s="1">
        <v>28348</v>
      </c>
      <c r="C34" s="1">
        <v>29699</v>
      </c>
      <c r="D34" s="1">
        <v>31176</v>
      </c>
      <c r="E34" s="1">
        <v>33029</v>
      </c>
      <c r="F34" s="1">
        <v>34480</v>
      </c>
      <c r="G34" s="1">
        <v>36355</v>
      </c>
      <c r="H34" s="1">
        <v>38239</v>
      </c>
      <c r="I34" s="1">
        <v>40455</v>
      </c>
      <c r="J34" s="1">
        <v>42797</v>
      </c>
      <c r="K34" s="1">
        <v>44893</v>
      </c>
      <c r="L34" s="1">
        <v>46186</v>
      </c>
      <c r="M34" s="1">
        <v>48324</v>
      </c>
      <c r="N34" s="1">
        <v>50429</v>
      </c>
      <c r="O34" s="1">
        <v>52411</v>
      </c>
      <c r="P34" s="1">
        <v>53969</v>
      </c>
      <c r="Q34" s="1">
        <v>56395</v>
      </c>
      <c r="R34" s="1">
        <v>58596</v>
      </c>
      <c r="S34" s="1">
        <v>60457</v>
      </c>
      <c r="T34" s="1">
        <v>63024</v>
      </c>
      <c r="U34" s="1">
        <v>66095</v>
      </c>
      <c r="V34" s="1">
        <v>69133</v>
      </c>
      <c r="W34" s="1">
        <v>63357</v>
      </c>
      <c r="X34" s="1">
        <v>68690</v>
      </c>
      <c r="Y34" s="1">
        <v>77093</v>
      </c>
      <c r="Z34" s="1">
        <v>81230</v>
      </c>
      <c r="AA34" s="1">
        <v>2675</v>
      </c>
      <c r="AB34" s="1">
        <v>3057</v>
      </c>
      <c r="AC34" s="1">
        <v>2990</v>
      </c>
      <c r="AD34" s="1">
        <v>3425</v>
      </c>
      <c r="AE34" s="1">
        <v>3489</v>
      </c>
      <c r="AF34" s="1">
        <v>3890</v>
      </c>
      <c r="AG34" s="1">
        <v>4279</v>
      </c>
      <c r="AH34" s="1">
        <v>4826</v>
      </c>
      <c r="AI34" s="1">
        <v>5053</v>
      </c>
      <c r="AJ34" s="1">
        <v>5303</v>
      </c>
      <c r="AK34" s="1">
        <v>5271</v>
      </c>
      <c r="AL34" s="1">
        <v>5518</v>
      </c>
      <c r="AM34" s="1">
        <v>5803</v>
      </c>
      <c r="AN34" s="1">
        <v>6662</v>
      </c>
      <c r="AO34" s="1">
        <v>6993</v>
      </c>
      <c r="AP34" s="1">
        <v>7121</v>
      </c>
      <c r="AQ34" s="1">
        <v>7302</v>
      </c>
      <c r="AR34" s="1">
        <v>7779</v>
      </c>
      <c r="AS34" s="1">
        <v>7967</v>
      </c>
      <c r="AT34" s="1">
        <v>7994</v>
      </c>
      <c r="AU34" s="1">
        <v>11311</v>
      </c>
      <c r="AV34" s="1">
        <v>9987</v>
      </c>
      <c r="AW34" s="1">
        <v>10679</v>
      </c>
      <c r="AX34" s="1">
        <v>11990</v>
      </c>
      <c r="AY34" s="1">
        <v>12635</v>
      </c>
      <c r="AZ34" s="1">
        <v>4315</v>
      </c>
      <c r="BA34" s="1">
        <v>4361</v>
      </c>
      <c r="BB34" s="1">
        <v>4935</v>
      </c>
      <c r="BC34" s="1">
        <v>4901</v>
      </c>
      <c r="BD34" s="1">
        <v>5246</v>
      </c>
      <c r="BE34" s="1">
        <v>5582</v>
      </c>
      <c r="BF34" s="1">
        <v>5885</v>
      </c>
      <c r="BG34" s="1">
        <v>6078</v>
      </c>
      <c r="BH34" s="1">
        <v>6742</v>
      </c>
      <c r="BI34" s="1">
        <v>6993</v>
      </c>
      <c r="BJ34" s="1">
        <v>7196</v>
      </c>
      <c r="BK34" s="1">
        <v>7312</v>
      </c>
      <c r="BL34" s="1">
        <v>7576</v>
      </c>
      <c r="BM34" s="1">
        <v>8361</v>
      </c>
      <c r="BN34" s="1">
        <v>8148</v>
      </c>
      <c r="BO34" s="1">
        <v>8899</v>
      </c>
      <c r="BP34" s="1">
        <v>9231</v>
      </c>
      <c r="BQ34" s="1">
        <v>9578</v>
      </c>
      <c r="BR34" s="1">
        <v>10219</v>
      </c>
      <c r="BS34" s="1">
        <v>11178</v>
      </c>
      <c r="BT34" s="1">
        <v>10984</v>
      </c>
      <c r="BU34" s="1">
        <v>10931</v>
      </c>
      <c r="BV34" s="1">
        <v>12199</v>
      </c>
      <c r="BW34" s="1">
        <v>13679</v>
      </c>
      <c r="BX34" s="1">
        <v>14580</v>
      </c>
      <c r="BY34" s="1">
        <v>5462</v>
      </c>
      <c r="BZ34" s="1">
        <v>5751</v>
      </c>
      <c r="CA34" s="1">
        <v>6270</v>
      </c>
      <c r="CB34" s="1">
        <v>6336</v>
      </c>
      <c r="CC34" s="1">
        <v>6621</v>
      </c>
      <c r="CD34" s="1">
        <v>6783</v>
      </c>
      <c r="CE34" s="1">
        <v>7100</v>
      </c>
      <c r="CF34" s="1">
        <v>7716</v>
      </c>
      <c r="CG34" s="1">
        <v>7895</v>
      </c>
      <c r="CH34" s="1">
        <v>8036</v>
      </c>
      <c r="CI34" s="1">
        <v>8558</v>
      </c>
      <c r="CJ34" s="1">
        <v>9406</v>
      </c>
      <c r="CK34" s="1">
        <v>9984</v>
      </c>
      <c r="CL34" s="1">
        <v>9887</v>
      </c>
      <c r="CM34" s="1">
        <v>10477</v>
      </c>
      <c r="CN34" s="1">
        <v>11024</v>
      </c>
      <c r="CO34" s="1">
        <v>11104</v>
      </c>
      <c r="CP34" s="1">
        <v>11769</v>
      </c>
      <c r="CQ34" s="1">
        <v>11878</v>
      </c>
      <c r="CR34" s="1">
        <v>12428</v>
      </c>
      <c r="CS34" s="1">
        <v>12542</v>
      </c>
      <c r="CT34" s="1">
        <v>11531</v>
      </c>
      <c r="CU34" s="1">
        <v>12629</v>
      </c>
      <c r="CV34" s="1">
        <v>15211</v>
      </c>
      <c r="CW34" s="1">
        <v>15911</v>
      </c>
      <c r="CX34" s="1">
        <v>6758</v>
      </c>
      <c r="CY34" s="1">
        <v>6987</v>
      </c>
      <c r="CZ34" s="1">
        <v>7148</v>
      </c>
      <c r="DA34" s="1">
        <v>7863</v>
      </c>
      <c r="DB34" s="1">
        <v>8010</v>
      </c>
      <c r="DC34" s="1">
        <v>8149</v>
      </c>
      <c r="DD34" s="1">
        <v>8755</v>
      </c>
      <c r="DE34" s="1">
        <v>9280</v>
      </c>
      <c r="DF34" s="1">
        <v>9622</v>
      </c>
      <c r="DG34" s="1">
        <v>10315</v>
      </c>
      <c r="DH34" s="1">
        <v>10226</v>
      </c>
      <c r="DI34" s="1">
        <v>11034</v>
      </c>
      <c r="DJ34" s="1">
        <v>11187</v>
      </c>
      <c r="DK34" s="1">
        <v>11690</v>
      </c>
      <c r="DL34" s="1">
        <v>12005</v>
      </c>
      <c r="DM34" s="1">
        <v>12598</v>
      </c>
      <c r="DN34" s="1">
        <v>13641</v>
      </c>
      <c r="DO34" s="1">
        <v>14283</v>
      </c>
      <c r="DP34" s="1">
        <v>14674</v>
      </c>
      <c r="DQ34" s="1">
        <v>15420</v>
      </c>
      <c r="DR34" s="1">
        <v>16687</v>
      </c>
      <c r="DS34" s="1">
        <v>15432</v>
      </c>
      <c r="DT34" s="1">
        <v>17327</v>
      </c>
      <c r="DU34" s="1">
        <v>17681</v>
      </c>
      <c r="DV34" s="1">
        <v>18594</v>
      </c>
      <c r="DW34" s="1">
        <v>9138</v>
      </c>
      <c r="DX34" s="1">
        <v>9543</v>
      </c>
      <c r="DY34" s="1">
        <v>9833</v>
      </c>
      <c r="DZ34" s="1">
        <v>10504</v>
      </c>
      <c r="EA34" s="1">
        <v>11114</v>
      </c>
      <c r="EB34" s="1">
        <v>11951</v>
      </c>
      <c r="EC34" s="1">
        <v>12220</v>
      </c>
      <c r="ED34" s="1">
        <v>12555</v>
      </c>
      <c r="EE34" s="1">
        <v>13485</v>
      </c>
      <c r="EF34" s="1">
        <v>14246</v>
      </c>
      <c r="EG34" s="1">
        <v>14935</v>
      </c>
      <c r="EH34" s="1">
        <v>15054</v>
      </c>
      <c r="EI34" s="1">
        <v>15879</v>
      </c>
      <c r="EJ34" s="1">
        <v>15811</v>
      </c>
      <c r="EK34" s="1">
        <v>16346</v>
      </c>
      <c r="EL34" s="1">
        <v>16753</v>
      </c>
      <c r="EM34" s="1">
        <v>17318</v>
      </c>
      <c r="EN34" s="1">
        <v>17048</v>
      </c>
      <c r="EO34" s="1">
        <v>18286</v>
      </c>
      <c r="EP34" s="1">
        <v>19075</v>
      </c>
      <c r="EQ34" s="1">
        <v>17609</v>
      </c>
      <c r="ER34" s="1">
        <v>15476</v>
      </c>
      <c r="ES34" s="1">
        <v>15856</v>
      </c>
      <c r="ET34" s="1">
        <v>18532</v>
      </c>
      <c r="EU34" s="1">
        <v>19510</v>
      </c>
    </row>
    <row r="35" spans="1:151" x14ac:dyDescent="0.25">
      <c r="A35" t="s">
        <v>39</v>
      </c>
      <c r="B35" s="1">
        <v>32055</v>
      </c>
      <c r="C35" s="1">
        <v>37946</v>
      </c>
      <c r="D35" s="1">
        <v>29643</v>
      </c>
      <c r="E35" s="1">
        <v>29444</v>
      </c>
      <c r="F35" s="1">
        <v>32376</v>
      </c>
      <c r="G35" s="1">
        <v>35213</v>
      </c>
      <c r="H35" s="1">
        <v>41620</v>
      </c>
      <c r="I35" s="1">
        <v>39979</v>
      </c>
      <c r="J35" s="1">
        <v>43385</v>
      </c>
      <c r="K35" s="1">
        <v>45397</v>
      </c>
      <c r="L35" s="1">
        <v>38057</v>
      </c>
      <c r="M35" s="1">
        <v>38076</v>
      </c>
      <c r="N35" s="1">
        <v>46937</v>
      </c>
      <c r="O35" s="1">
        <v>47452</v>
      </c>
      <c r="P35" s="1">
        <v>44876</v>
      </c>
      <c r="Q35" s="1">
        <v>46439</v>
      </c>
      <c r="R35" s="1">
        <v>43260</v>
      </c>
      <c r="S35" s="1">
        <v>43138</v>
      </c>
      <c r="T35" s="1">
        <v>43728</v>
      </c>
      <c r="U35" s="1">
        <v>43259</v>
      </c>
      <c r="V35" s="1">
        <v>47476</v>
      </c>
      <c r="W35" s="1">
        <v>39000</v>
      </c>
      <c r="X35" s="1">
        <v>42387</v>
      </c>
      <c r="Y35" s="1">
        <v>40626</v>
      </c>
      <c r="Z35" s="1">
        <v>43798</v>
      </c>
      <c r="AA35">
        <v>392</v>
      </c>
      <c r="AB35">
        <v>692</v>
      </c>
      <c r="AC35">
        <v>21</v>
      </c>
      <c r="AD35">
        <v>-457</v>
      </c>
      <c r="AE35">
        <v>-302</v>
      </c>
      <c r="AF35">
        <v>-130</v>
      </c>
      <c r="AG35">
        <v>-450</v>
      </c>
      <c r="AH35">
        <v>-392</v>
      </c>
      <c r="AI35">
        <v>5</v>
      </c>
      <c r="AJ35">
        <v>237</v>
      </c>
      <c r="AK35">
        <v>-596</v>
      </c>
      <c r="AL35">
        <v>-639</v>
      </c>
      <c r="AM35" s="1">
        <v>-1164</v>
      </c>
      <c r="AN35">
        <v>-524</v>
      </c>
      <c r="AO35">
        <v>-427</v>
      </c>
      <c r="AP35" s="1">
        <v>-1985</v>
      </c>
      <c r="AQ35" s="1">
        <v>-1394</v>
      </c>
      <c r="AR35">
        <v>-583</v>
      </c>
      <c r="AS35">
        <v>1</v>
      </c>
      <c r="AT35">
        <v>-374</v>
      </c>
      <c r="AU35">
        <v>-505</v>
      </c>
      <c r="AV35" s="1">
        <v>-1270</v>
      </c>
      <c r="AW35">
        <v>-724</v>
      </c>
      <c r="AX35" s="1">
        <v>-1063</v>
      </c>
      <c r="AY35" s="1">
        <v>-2055</v>
      </c>
      <c r="AZ35" s="1">
        <v>1613</v>
      </c>
      <c r="BA35" s="1">
        <v>3165</v>
      </c>
      <c r="BB35" s="1">
        <v>1010</v>
      </c>
      <c r="BC35">
        <v>392</v>
      </c>
      <c r="BD35">
        <v>170</v>
      </c>
      <c r="BE35">
        <v>-177</v>
      </c>
      <c r="BF35">
        <v>422</v>
      </c>
      <c r="BG35">
        <v>929</v>
      </c>
      <c r="BH35" s="1">
        <v>1801</v>
      </c>
      <c r="BI35" s="1">
        <v>2028</v>
      </c>
      <c r="BJ35">
        <v>167</v>
      </c>
      <c r="BK35">
        <v>593</v>
      </c>
      <c r="BL35" s="1">
        <v>2037</v>
      </c>
      <c r="BM35">
        <v>331</v>
      </c>
      <c r="BN35" s="1">
        <v>-1050</v>
      </c>
      <c r="BO35">
        <v>185</v>
      </c>
      <c r="BP35">
        <v>144</v>
      </c>
      <c r="BQ35">
        <v>640</v>
      </c>
      <c r="BR35">
        <v>-156</v>
      </c>
      <c r="BS35" s="1">
        <v>-1351</v>
      </c>
      <c r="BT35" s="1">
        <v>-1546</v>
      </c>
      <c r="BU35" s="1">
        <v>-2895</v>
      </c>
      <c r="BV35">
        <v>-775</v>
      </c>
      <c r="BW35" s="1">
        <v>-3634</v>
      </c>
      <c r="BX35" s="1">
        <v>-4754</v>
      </c>
      <c r="BY35" s="1">
        <v>5398</v>
      </c>
      <c r="BZ35" s="1">
        <v>5739</v>
      </c>
      <c r="CA35" s="1">
        <v>4525</v>
      </c>
      <c r="CB35" s="1">
        <v>3139</v>
      </c>
      <c r="CC35" s="1">
        <v>4311</v>
      </c>
      <c r="CD35" s="1">
        <v>4342</v>
      </c>
      <c r="CE35" s="1">
        <v>5586</v>
      </c>
      <c r="CF35" s="1">
        <v>5309</v>
      </c>
      <c r="CG35" s="1">
        <v>5738</v>
      </c>
      <c r="CH35" s="1">
        <v>7433</v>
      </c>
      <c r="CI35" s="1">
        <v>5367</v>
      </c>
      <c r="CJ35" s="1">
        <v>5196</v>
      </c>
      <c r="CK35" s="1">
        <v>6473</v>
      </c>
      <c r="CL35" s="1">
        <v>7170</v>
      </c>
      <c r="CM35" s="1">
        <v>5477</v>
      </c>
      <c r="CN35" s="1">
        <v>6787</v>
      </c>
      <c r="CO35" s="1">
        <v>6750</v>
      </c>
      <c r="CP35" s="1">
        <v>5217</v>
      </c>
      <c r="CQ35" s="1">
        <v>4616</v>
      </c>
      <c r="CR35" s="1">
        <v>3246</v>
      </c>
      <c r="CS35" s="1">
        <v>3946</v>
      </c>
      <c r="CT35" s="1">
        <v>4814</v>
      </c>
      <c r="CU35" s="1">
        <v>6593</v>
      </c>
      <c r="CV35" s="1">
        <v>3215</v>
      </c>
      <c r="CW35" s="1">
        <v>2945</v>
      </c>
      <c r="CX35" s="1">
        <v>10747</v>
      </c>
      <c r="CY35" s="1">
        <v>11464</v>
      </c>
      <c r="CZ35" s="1">
        <v>9997</v>
      </c>
      <c r="DA35" s="1">
        <v>10456</v>
      </c>
      <c r="DB35" s="1">
        <v>11115</v>
      </c>
      <c r="DC35" s="1">
        <v>12082</v>
      </c>
      <c r="DD35" s="1">
        <v>14929</v>
      </c>
      <c r="DE35" s="1">
        <v>14500</v>
      </c>
      <c r="DF35" s="1">
        <v>14496</v>
      </c>
      <c r="DG35" s="1">
        <v>15005</v>
      </c>
      <c r="DH35" s="1">
        <v>13308</v>
      </c>
      <c r="DI35" s="1">
        <v>14282</v>
      </c>
      <c r="DJ35" s="1">
        <v>17647</v>
      </c>
      <c r="DK35" s="1">
        <v>17623</v>
      </c>
      <c r="DL35" s="1">
        <v>19665</v>
      </c>
      <c r="DM35" s="1">
        <v>18089</v>
      </c>
      <c r="DN35" s="1">
        <v>16631</v>
      </c>
      <c r="DO35" s="1">
        <v>17345</v>
      </c>
      <c r="DP35" s="1">
        <v>17488</v>
      </c>
      <c r="DQ35" s="1">
        <v>18171</v>
      </c>
      <c r="DR35" s="1">
        <v>20084</v>
      </c>
      <c r="DS35" s="1">
        <v>17497</v>
      </c>
      <c r="DT35" s="1">
        <v>16097</v>
      </c>
      <c r="DU35" s="1">
        <v>18107</v>
      </c>
      <c r="DV35" s="1">
        <v>21117</v>
      </c>
      <c r="DW35" s="1">
        <v>13905</v>
      </c>
      <c r="DX35" s="1">
        <v>16886</v>
      </c>
      <c r="DY35" s="1">
        <v>14090</v>
      </c>
      <c r="DZ35" s="1">
        <v>15914</v>
      </c>
      <c r="EA35" s="1">
        <v>17082</v>
      </c>
      <c r="EB35" s="1">
        <v>19096</v>
      </c>
      <c r="EC35" s="1">
        <v>21133</v>
      </c>
      <c r="ED35" s="1">
        <v>19633</v>
      </c>
      <c r="EE35" s="1">
        <v>21345</v>
      </c>
      <c r="EF35" s="1">
        <v>20694</v>
      </c>
      <c r="EG35" s="1">
        <v>19811</v>
      </c>
      <c r="EH35" s="1">
        <v>18644</v>
      </c>
      <c r="EI35" s="1">
        <v>21944</v>
      </c>
      <c r="EJ35" s="1">
        <v>22852</v>
      </c>
      <c r="EK35" s="1">
        <v>21211</v>
      </c>
      <c r="EL35" s="1">
        <v>23363</v>
      </c>
      <c r="EM35" s="1">
        <v>21129</v>
      </c>
      <c r="EN35" s="1">
        <v>20519</v>
      </c>
      <c r="EO35" s="1">
        <v>21779</v>
      </c>
      <c r="EP35" s="1">
        <v>23567</v>
      </c>
      <c r="EQ35" s="1">
        <v>25497</v>
      </c>
      <c r="ER35" s="1">
        <v>20854</v>
      </c>
      <c r="ES35" s="1">
        <v>21196</v>
      </c>
      <c r="ET35" s="1">
        <v>24001</v>
      </c>
      <c r="EU35" s="1">
        <v>26546</v>
      </c>
    </row>
    <row r="36" spans="1:151" x14ac:dyDescent="0.25">
      <c r="A36" t="s">
        <v>40</v>
      </c>
      <c r="B36" s="1">
        <v>24810</v>
      </c>
      <c r="C36" s="1">
        <v>28603</v>
      </c>
      <c r="D36" s="1">
        <v>29749</v>
      </c>
      <c r="E36" s="1">
        <v>20423</v>
      </c>
      <c r="F36" s="1">
        <v>14409</v>
      </c>
      <c r="G36" s="1">
        <v>17511</v>
      </c>
      <c r="H36" s="1">
        <v>10716</v>
      </c>
      <c r="I36" s="1">
        <v>20714</v>
      </c>
      <c r="J36" s="1">
        <v>17683</v>
      </c>
      <c r="K36" s="1">
        <v>29296</v>
      </c>
      <c r="L36" s="1">
        <v>41148</v>
      </c>
      <c r="M36" s="1">
        <v>39451</v>
      </c>
      <c r="N36" s="1">
        <v>41961</v>
      </c>
      <c r="O36" s="1">
        <v>50651</v>
      </c>
      <c r="P36" s="1">
        <v>53583</v>
      </c>
      <c r="Q36" s="1">
        <v>41838</v>
      </c>
      <c r="R36" s="1">
        <v>51055</v>
      </c>
      <c r="S36" s="1">
        <v>22235</v>
      </c>
      <c r="T36" s="1">
        <v>23941</v>
      </c>
      <c r="U36" s="1">
        <v>7733</v>
      </c>
      <c r="V36" s="1">
        <v>27023</v>
      </c>
      <c r="W36" s="1">
        <v>200664</v>
      </c>
      <c r="X36" s="1">
        <v>150172</v>
      </c>
      <c r="Y36" s="1">
        <v>81326</v>
      </c>
      <c r="Z36" s="1">
        <v>88537</v>
      </c>
      <c r="AA36" s="1">
        <v>-22235</v>
      </c>
      <c r="AB36" s="1">
        <v>-25977</v>
      </c>
      <c r="AC36" s="1">
        <v>-22319</v>
      </c>
      <c r="AD36" s="1">
        <v>-28053</v>
      </c>
      <c r="AE36" s="1">
        <v>-27957</v>
      </c>
      <c r="AF36" s="1">
        <v>-33728</v>
      </c>
      <c r="AG36" s="1">
        <v>-41595</v>
      </c>
      <c r="AH36" s="1">
        <v>-47072</v>
      </c>
      <c r="AI36" s="1">
        <v>-48721</v>
      </c>
      <c r="AJ36" s="1">
        <v>-52756</v>
      </c>
      <c r="AK36" s="1">
        <v>-50457</v>
      </c>
      <c r="AL36" s="1">
        <v>-54809</v>
      </c>
      <c r="AM36" s="1">
        <v>-55051</v>
      </c>
      <c r="AN36" s="1">
        <v>-56107</v>
      </c>
      <c r="AO36" s="1">
        <v>-63165</v>
      </c>
      <c r="AP36" s="1">
        <v>-69596</v>
      </c>
      <c r="AQ36" s="1">
        <v>-72707</v>
      </c>
      <c r="AR36" s="1">
        <v>-74228</v>
      </c>
      <c r="AS36" s="1">
        <v>-78779</v>
      </c>
      <c r="AT36" s="1">
        <v>-82939</v>
      </c>
      <c r="AU36" s="1">
        <v>-94385</v>
      </c>
      <c r="AV36" s="1">
        <v>-55930</v>
      </c>
      <c r="AW36" s="1">
        <v>-76088</v>
      </c>
      <c r="AX36" s="1">
        <v>-94207</v>
      </c>
      <c r="AY36" s="1">
        <v>-102715</v>
      </c>
      <c r="AZ36" s="1">
        <v>-14175</v>
      </c>
      <c r="BA36" s="1">
        <v>-13108</v>
      </c>
      <c r="BB36" s="1">
        <v>-13046</v>
      </c>
      <c r="BC36" s="1">
        <v>-17041</v>
      </c>
      <c r="BD36" s="1">
        <v>-20214</v>
      </c>
      <c r="BE36" s="1">
        <v>-23603</v>
      </c>
      <c r="BF36" s="1">
        <v>-24657</v>
      </c>
      <c r="BG36" s="1">
        <v>-23914</v>
      </c>
      <c r="BH36" s="1">
        <v>-26057</v>
      </c>
      <c r="BI36" s="1">
        <v>-28485</v>
      </c>
      <c r="BJ36" s="1">
        <v>-26367</v>
      </c>
      <c r="BK36" s="1">
        <v>-25528</v>
      </c>
      <c r="BL36" s="1">
        <v>-28752</v>
      </c>
      <c r="BM36" s="1">
        <v>-27409</v>
      </c>
      <c r="BN36" s="1">
        <v>-29119</v>
      </c>
      <c r="BO36" s="1">
        <v>-29871</v>
      </c>
      <c r="BP36" s="1">
        <v>-31049</v>
      </c>
      <c r="BQ36" s="1">
        <v>-25432</v>
      </c>
      <c r="BR36" s="1">
        <v>-30199</v>
      </c>
      <c r="BS36" s="1">
        <v>-39027</v>
      </c>
      <c r="BT36" s="1">
        <v>-45330</v>
      </c>
      <c r="BU36" s="1">
        <v>-4672</v>
      </c>
      <c r="BV36" s="1">
        <v>-24796</v>
      </c>
      <c r="BW36" s="1">
        <v>-45973</v>
      </c>
      <c r="BX36" s="1">
        <v>-56703</v>
      </c>
      <c r="BY36" s="1">
        <v>-5477</v>
      </c>
      <c r="BZ36" s="1">
        <v>-7081</v>
      </c>
      <c r="CA36" s="1">
        <v>-9881</v>
      </c>
      <c r="CB36" s="1">
        <v>-13337</v>
      </c>
      <c r="CC36" s="1">
        <v>-12024</v>
      </c>
      <c r="CD36" s="1">
        <v>-12303</v>
      </c>
      <c r="CE36" s="1">
        <v>-13879</v>
      </c>
      <c r="CF36" s="1">
        <v>-12200</v>
      </c>
      <c r="CG36" s="1">
        <v>-13564</v>
      </c>
      <c r="CH36" s="1">
        <v>-8282</v>
      </c>
      <c r="CI36" s="1">
        <v>-7917</v>
      </c>
      <c r="CJ36" s="1">
        <v>-6913</v>
      </c>
      <c r="CK36" s="1">
        <v>-9392</v>
      </c>
      <c r="CL36" s="1">
        <v>-9994</v>
      </c>
      <c r="CM36" s="1">
        <v>-9177</v>
      </c>
      <c r="CN36" s="1">
        <v>-14879</v>
      </c>
      <c r="CO36" s="1">
        <v>-4749</v>
      </c>
      <c r="CP36" s="1">
        <v>-7852</v>
      </c>
      <c r="CQ36" s="1">
        <v>-11406</v>
      </c>
      <c r="CR36" s="1">
        <v>-19275</v>
      </c>
      <c r="CS36" s="1">
        <v>-19360</v>
      </c>
      <c r="CT36" s="1">
        <v>12830</v>
      </c>
      <c r="CU36" s="1">
        <v>-5634</v>
      </c>
      <c r="CV36" s="1">
        <v>-31440</v>
      </c>
      <c r="CW36" s="1">
        <v>-37724</v>
      </c>
      <c r="CX36" s="1">
        <v>11790</v>
      </c>
      <c r="CY36" s="1">
        <v>9201</v>
      </c>
      <c r="CZ36" s="1">
        <v>8785</v>
      </c>
      <c r="DA36" s="1">
        <v>11099</v>
      </c>
      <c r="DB36" s="1">
        <v>3695</v>
      </c>
      <c r="DC36" s="1">
        <v>11021</v>
      </c>
      <c r="DD36" s="1">
        <v>10119</v>
      </c>
      <c r="DE36" s="1">
        <v>10304</v>
      </c>
      <c r="DF36" s="1">
        <v>9453</v>
      </c>
      <c r="DG36" s="1">
        <v>13056</v>
      </c>
      <c r="DH36" s="1">
        <v>16422</v>
      </c>
      <c r="DI36" s="1">
        <v>20000</v>
      </c>
      <c r="DJ36" s="1">
        <v>21343</v>
      </c>
      <c r="DK36" s="1">
        <v>26116</v>
      </c>
      <c r="DL36" s="1">
        <v>27030</v>
      </c>
      <c r="DM36" s="1">
        <v>27757</v>
      </c>
      <c r="DN36" s="1">
        <v>24909</v>
      </c>
      <c r="DO36" s="1">
        <v>19630</v>
      </c>
      <c r="DP36" s="1">
        <v>22331</v>
      </c>
      <c r="DQ36" s="1">
        <v>23521</v>
      </c>
      <c r="DR36" s="1">
        <v>31569</v>
      </c>
      <c r="DS36" s="1">
        <v>70638</v>
      </c>
      <c r="DT36" s="1">
        <v>66370</v>
      </c>
      <c r="DU36" s="1">
        <v>53470</v>
      </c>
      <c r="DV36" s="1">
        <v>58069</v>
      </c>
      <c r="DW36" s="1">
        <v>54907</v>
      </c>
      <c r="DX36" s="1">
        <v>65568</v>
      </c>
      <c r="DY36" s="1">
        <v>66210</v>
      </c>
      <c r="DZ36" s="1">
        <v>67755</v>
      </c>
      <c r="EA36" s="1">
        <v>70909</v>
      </c>
      <c r="EB36" s="1">
        <v>76124</v>
      </c>
      <c r="EC36" s="1">
        <v>80728</v>
      </c>
      <c r="ED36" s="1">
        <v>93596</v>
      </c>
      <c r="EE36" s="1">
        <v>96572</v>
      </c>
      <c r="EF36" s="1">
        <v>105763</v>
      </c>
      <c r="EG36" s="1">
        <v>109467</v>
      </c>
      <c r="EH36" s="1">
        <v>106701</v>
      </c>
      <c r="EI36" s="1">
        <v>113813</v>
      </c>
      <c r="EJ36" s="1">
        <v>118045</v>
      </c>
      <c r="EK36" s="1">
        <v>128014</v>
      </c>
      <c r="EL36" s="1">
        <v>128427</v>
      </c>
      <c r="EM36" s="1">
        <v>134651</v>
      </c>
      <c r="EN36" s="1">
        <v>110117</v>
      </c>
      <c r="EO36" s="1">
        <v>121994</v>
      </c>
      <c r="EP36" s="1">
        <v>125453</v>
      </c>
      <c r="EQ36" s="1">
        <v>154529</v>
      </c>
      <c r="ER36" s="1">
        <v>177798</v>
      </c>
      <c r="ES36" s="1">
        <v>190320</v>
      </c>
      <c r="ET36" s="1">
        <v>199476</v>
      </c>
      <c r="EU36" s="1">
        <v>227611</v>
      </c>
    </row>
  </sheetData>
  <hyperlinks>
    <hyperlink ref="A6" r:id="rId1" display="https://www150.statcan.gc.ca/t1/tbl1/en/cv!recreate.action?pid=3610058701&amp;selectedNodeIds=2D1,3D2,3D3,3D4,3D5,3D6,4D1,4D2,4D3,4D4,4D5,4D6,4D7,4D8,4D9,4D10,4D11,4D12,4D13,4D14,4D15,4D16,4D17,4D18,4D19,4D20,4D21,4D22,4D23&amp;checkedLevels=0D1,2D1&amp;refPeriods=19990101,20230101&amp;dimensionLayouts=layout2,layout2,layout2,layout3,layout2&amp;vectorDisplay=false" xr:uid="{00000000-0004-0000-09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U47"/>
  <sheetViews>
    <sheetView workbookViewId="0"/>
  </sheetViews>
  <sheetFormatPr defaultRowHeight="15" x14ac:dyDescent="0.25"/>
  <sheetData>
    <row r="1" spans="1:151" x14ac:dyDescent="0.25">
      <c r="A1" t="s">
        <v>0</v>
      </c>
    </row>
    <row r="2" spans="1:151" x14ac:dyDescent="0.25">
      <c r="A2" t="s">
        <v>1</v>
      </c>
    </row>
    <row r="3" spans="1:151" x14ac:dyDescent="0.25">
      <c r="A3" t="s">
        <v>2</v>
      </c>
    </row>
    <row r="4" spans="1:151" x14ac:dyDescent="0.25">
      <c r="A4" t="s">
        <v>3</v>
      </c>
    </row>
    <row r="5" spans="1:151" x14ac:dyDescent="0.25">
      <c r="A5" t="s">
        <v>4</v>
      </c>
    </row>
    <row r="9" spans="1:151" x14ac:dyDescent="0.25">
      <c r="A9" t="s">
        <v>5</v>
      </c>
      <c r="B9" t="s">
        <v>6</v>
      </c>
    </row>
    <row r="10" spans="1:151" x14ac:dyDescent="0.25">
      <c r="A10" t="s">
        <v>7</v>
      </c>
      <c r="B10" t="s">
        <v>8</v>
      </c>
    </row>
    <row r="11" spans="1:151" x14ac:dyDescent="0.25">
      <c r="A11" t="s">
        <v>9</v>
      </c>
      <c r="B11" t="s">
        <v>10</v>
      </c>
      <c r="AA11" t="s">
        <v>56</v>
      </c>
      <c r="AZ11" t="s">
        <v>57</v>
      </c>
      <c r="BY11" t="s">
        <v>58</v>
      </c>
      <c r="CX11" t="s">
        <v>59</v>
      </c>
      <c r="DW11" t="s">
        <v>60</v>
      </c>
    </row>
    <row r="12" spans="1:151" x14ac:dyDescent="0.25">
      <c r="A12" t="s">
        <v>16</v>
      </c>
      <c r="B12">
        <v>1999</v>
      </c>
      <c r="C12">
        <v>2000</v>
      </c>
      <c r="D12">
        <v>2001</v>
      </c>
      <c r="E12">
        <v>2002</v>
      </c>
      <c r="F12">
        <v>2003</v>
      </c>
      <c r="G12">
        <v>2004</v>
      </c>
      <c r="H12">
        <v>2005</v>
      </c>
      <c r="I12">
        <v>2006</v>
      </c>
      <c r="J12">
        <v>2007</v>
      </c>
      <c r="K12">
        <v>2008</v>
      </c>
      <c r="L12">
        <v>2009</v>
      </c>
      <c r="M12">
        <v>2010</v>
      </c>
      <c r="N12">
        <v>2011</v>
      </c>
      <c r="O12">
        <v>2012</v>
      </c>
      <c r="P12">
        <v>2013</v>
      </c>
      <c r="Q12">
        <v>2014</v>
      </c>
      <c r="R12">
        <v>2015</v>
      </c>
      <c r="S12">
        <v>2016</v>
      </c>
      <c r="T12">
        <v>2017</v>
      </c>
      <c r="U12">
        <v>2018</v>
      </c>
      <c r="V12">
        <v>2019</v>
      </c>
      <c r="W12">
        <v>2020</v>
      </c>
      <c r="X12">
        <v>2021</v>
      </c>
      <c r="Y12">
        <v>2022</v>
      </c>
      <c r="Z12">
        <v>2023</v>
      </c>
      <c r="AA12">
        <v>1999</v>
      </c>
      <c r="AB12">
        <v>2000</v>
      </c>
      <c r="AC12">
        <v>2001</v>
      </c>
      <c r="AD12">
        <v>2002</v>
      </c>
      <c r="AE12">
        <v>2003</v>
      </c>
      <c r="AF12">
        <v>2004</v>
      </c>
      <c r="AG12">
        <v>2005</v>
      </c>
      <c r="AH12">
        <v>2006</v>
      </c>
      <c r="AI12">
        <v>2007</v>
      </c>
      <c r="AJ12">
        <v>2008</v>
      </c>
      <c r="AK12">
        <v>2009</v>
      </c>
      <c r="AL12">
        <v>2010</v>
      </c>
      <c r="AM12">
        <v>2011</v>
      </c>
      <c r="AN12">
        <v>2012</v>
      </c>
      <c r="AO12">
        <v>2013</v>
      </c>
      <c r="AP12">
        <v>2014</v>
      </c>
      <c r="AQ12">
        <v>2015</v>
      </c>
      <c r="AR12">
        <v>2016</v>
      </c>
      <c r="AS12">
        <v>2017</v>
      </c>
      <c r="AT12">
        <v>2018</v>
      </c>
      <c r="AU12">
        <v>2019</v>
      </c>
      <c r="AV12">
        <v>2020</v>
      </c>
      <c r="AW12">
        <v>2021</v>
      </c>
      <c r="AX12">
        <v>2022</v>
      </c>
      <c r="AY12">
        <v>2023</v>
      </c>
      <c r="AZ12">
        <v>1999</v>
      </c>
      <c r="BA12">
        <v>2000</v>
      </c>
      <c r="BB12">
        <v>2001</v>
      </c>
      <c r="BC12">
        <v>2002</v>
      </c>
      <c r="BD12">
        <v>2003</v>
      </c>
      <c r="BE12">
        <v>2004</v>
      </c>
      <c r="BF12">
        <v>2005</v>
      </c>
      <c r="BG12">
        <v>2006</v>
      </c>
      <c r="BH12">
        <v>2007</v>
      </c>
      <c r="BI12">
        <v>2008</v>
      </c>
      <c r="BJ12">
        <v>2009</v>
      </c>
      <c r="BK12">
        <v>2010</v>
      </c>
      <c r="BL12">
        <v>2011</v>
      </c>
      <c r="BM12">
        <v>2012</v>
      </c>
      <c r="BN12">
        <v>2013</v>
      </c>
      <c r="BO12">
        <v>2014</v>
      </c>
      <c r="BP12">
        <v>2015</v>
      </c>
      <c r="BQ12">
        <v>2016</v>
      </c>
      <c r="BR12">
        <v>2017</v>
      </c>
      <c r="BS12">
        <v>2018</v>
      </c>
      <c r="BT12">
        <v>2019</v>
      </c>
      <c r="BU12">
        <v>2020</v>
      </c>
      <c r="BV12">
        <v>2021</v>
      </c>
      <c r="BW12">
        <v>2022</v>
      </c>
      <c r="BX12">
        <v>2023</v>
      </c>
      <c r="BY12">
        <v>1999</v>
      </c>
      <c r="BZ12">
        <v>2000</v>
      </c>
      <c r="CA12">
        <v>2001</v>
      </c>
      <c r="CB12">
        <v>2002</v>
      </c>
      <c r="CC12">
        <v>2003</v>
      </c>
      <c r="CD12">
        <v>2004</v>
      </c>
      <c r="CE12">
        <v>2005</v>
      </c>
      <c r="CF12">
        <v>2006</v>
      </c>
      <c r="CG12">
        <v>2007</v>
      </c>
      <c r="CH12">
        <v>2008</v>
      </c>
      <c r="CI12">
        <v>2009</v>
      </c>
      <c r="CJ12">
        <v>2010</v>
      </c>
      <c r="CK12">
        <v>2011</v>
      </c>
      <c r="CL12">
        <v>2012</v>
      </c>
      <c r="CM12">
        <v>2013</v>
      </c>
      <c r="CN12">
        <v>2014</v>
      </c>
      <c r="CO12">
        <v>2015</v>
      </c>
      <c r="CP12">
        <v>2016</v>
      </c>
      <c r="CQ12">
        <v>2017</v>
      </c>
      <c r="CR12">
        <v>2018</v>
      </c>
      <c r="CS12">
        <v>2019</v>
      </c>
      <c r="CT12">
        <v>2020</v>
      </c>
      <c r="CU12">
        <v>2021</v>
      </c>
      <c r="CV12">
        <v>2022</v>
      </c>
      <c r="CW12">
        <v>2023</v>
      </c>
      <c r="CX12">
        <v>1999</v>
      </c>
      <c r="CY12">
        <v>2000</v>
      </c>
      <c r="CZ12">
        <v>2001</v>
      </c>
      <c r="DA12">
        <v>2002</v>
      </c>
      <c r="DB12">
        <v>2003</v>
      </c>
      <c r="DC12">
        <v>2004</v>
      </c>
      <c r="DD12">
        <v>2005</v>
      </c>
      <c r="DE12">
        <v>2006</v>
      </c>
      <c r="DF12">
        <v>2007</v>
      </c>
      <c r="DG12">
        <v>2008</v>
      </c>
      <c r="DH12">
        <v>2009</v>
      </c>
      <c r="DI12">
        <v>2010</v>
      </c>
      <c r="DJ12">
        <v>2011</v>
      </c>
      <c r="DK12">
        <v>2012</v>
      </c>
      <c r="DL12">
        <v>2013</v>
      </c>
      <c r="DM12">
        <v>2014</v>
      </c>
      <c r="DN12">
        <v>2015</v>
      </c>
      <c r="DO12">
        <v>2016</v>
      </c>
      <c r="DP12">
        <v>2017</v>
      </c>
      <c r="DQ12">
        <v>2018</v>
      </c>
      <c r="DR12">
        <v>2019</v>
      </c>
      <c r="DS12">
        <v>2020</v>
      </c>
      <c r="DT12">
        <v>2021</v>
      </c>
      <c r="DU12">
        <v>2022</v>
      </c>
      <c r="DV12">
        <v>2023</v>
      </c>
      <c r="DW12">
        <v>1999</v>
      </c>
      <c r="DX12">
        <v>2000</v>
      </c>
      <c r="DY12">
        <v>2001</v>
      </c>
      <c r="DZ12">
        <v>2002</v>
      </c>
      <c r="EA12">
        <v>2003</v>
      </c>
      <c r="EB12">
        <v>2004</v>
      </c>
      <c r="EC12">
        <v>2005</v>
      </c>
      <c r="ED12">
        <v>2006</v>
      </c>
      <c r="EE12">
        <v>2007</v>
      </c>
      <c r="EF12">
        <v>2008</v>
      </c>
      <c r="EG12">
        <v>2009</v>
      </c>
      <c r="EH12">
        <v>2010</v>
      </c>
      <c r="EI12">
        <v>2011</v>
      </c>
      <c r="EJ12">
        <v>2012</v>
      </c>
      <c r="EK12">
        <v>2013</v>
      </c>
      <c r="EL12">
        <v>2014</v>
      </c>
      <c r="EM12">
        <v>2015</v>
      </c>
      <c r="EN12">
        <v>2016</v>
      </c>
      <c r="EO12">
        <v>2017</v>
      </c>
      <c r="EP12">
        <v>2018</v>
      </c>
      <c r="EQ12">
        <v>2019</v>
      </c>
      <c r="ER12">
        <v>2020</v>
      </c>
      <c r="ES12">
        <v>2021</v>
      </c>
      <c r="ET12">
        <v>2022</v>
      </c>
      <c r="EU12">
        <v>2023</v>
      </c>
    </row>
    <row r="13" spans="1:151" x14ac:dyDescent="0.25">
      <c r="B13" t="s">
        <v>17</v>
      </c>
    </row>
    <row r="14" spans="1:151" x14ac:dyDescent="0.25">
      <c r="A14" t="s">
        <v>18</v>
      </c>
      <c r="B14" s="1">
        <v>546261</v>
      </c>
      <c r="C14" s="1">
        <v>579683</v>
      </c>
      <c r="D14" s="1">
        <v>615286</v>
      </c>
      <c r="E14" s="1">
        <v>642584</v>
      </c>
      <c r="F14" s="1">
        <v>663239</v>
      </c>
      <c r="G14" s="1">
        <v>695238</v>
      </c>
      <c r="H14" s="1">
        <v>721510</v>
      </c>
      <c r="I14" s="1">
        <v>774375</v>
      </c>
      <c r="J14" s="1">
        <v>816321</v>
      </c>
      <c r="K14" s="1">
        <v>862404</v>
      </c>
      <c r="L14" s="1">
        <v>884783</v>
      </c>
      <c r="M14" s="1">
        <v>928091</v>
      </c>
      <c r="N14" s="1">
        <v>962102</v>
      </c>
      <c r="O14" s="1">
        <v>1001254</v>
      </c>
      <c r="P14" s="1">
        <v>1046791</v>
      </c>
      <c r="Q14" s="1">
        <v>1081654</v>
      </c>
      <c r="R14" s="1">
        <v>1129875</v>
      </c>
      <c r="S14" s="1">
        <v>1132763</v>
      </c>
      <c r="T14" s="1">
        <v>1189366</v>
      </c>
      <c r="U14" s="1">
        <v>1224919</v>
      </c>
      <c r="V14" s="1">
        <v>1280362</v>
      </c>
      <c r="W14" s="1">
        <v>1387659</v>
      </c>
      <c r="X14" s="1">
        <v>1435372</v>
      </c>
      <c r="Y14" s="1">
        <v>1514289</v>
      </c>
      <c r="Z14" s="1">
        <v>1597953</v>
      </c>
      <c r="AA14" s="1">
        <v>108971</v>
      </c>
      <c r="AB14" s="1">
        <v>115710</v>
      </c>
      <c r="AC14" s="1">
        <v>121341</v>
      </c>
      <c r="AD14" s="1">
        <v>127273</v>
      </c>
      <c r="AE14" s="1">
        <v>125919</v>
      </c>
      <c r="AF14" s="1">
        <v>135050</v>
      </c>
      <c r="AG14" s="1">
        <v>136097</v>
      </c>
      <c r="AH14" s="1">
        <v>144243</v>
      </c>
      <c r="AI14" s="1">
        <v>149092</v>
      </c>
      <c r="AJ14" s="1">
        <v>160612</v>
      </c>
      <c r="AK14" s="1">
        <v>161898</v>
      </c>
      <c r="AL14" s="1">
        <v>172264</v>
      </c>
      <c r="AM14" s="1">
        <v>175728</v>
      </c>
      <c r="AN14" s="1">
        <v>176946</v>
      </c>
      <c r="AO14" s="1">
        <v>177925</v>
      </c>
      <c r="AP14" s="1">
        <v>183523</v>
      </c>
      <c r="AQ14" s="1">
        <v>196735</v>
      </c>
      <c r="AR14" s="1">
        <v>198261</v>
      </c>
      <c r="AS14" s="1">
        <v>209653</v>
      </c>
      <c r="AT14" s="1">
        <v>216413</v>
      </c>
      <c r="AU14" s="1">
        <v>224463</v>
      </c>
      <c r="AV14" s="1">
        <v>252324</v>
      </c>
      <c r="AW14" s="1">
        <v>268137</v>
      </c>
      <c r="AX14" s="1">
        <v>284037</v>
      </c>
      <c r="AY14" s="1">
        <v>296903</v>
      </c>
      <c r="AZ14" s="1">
        <v>155005</v>
      </c>
      <c r="BA14" s="1">
        <v>164536</v>
      </c>
      <c r="BB14" s="1">
        <v>167980</v>
      </c>
      <c r="BC14" s="1">
        <v>173007</v>
      </c>
      <c r="BD14" s="1">
        <v>174156</v>
      </c>
      <c r="BE14" s="1">
        <v>177234</v>
      </c>
      <c r="BF14" s="1">
        <v>179863</v>
      </c>
      <c r="BG14" s="1">
        <v>182459</v>
      </c>
      <c r="BH14" s="1">
        <v>188940</v>
      </c>
      <c r="BI14" s="1">
        <v>194634</v>
      </c>
      <c r="BJ14" s="1">
        <v>196971</v>
      </c>
      <c r="BK14" s="1">
        <v>198869</v>
      </c>
      <c r="BL14" s="1">
        <v>204085</v>
      </c>
      <c r="BM14" s="1">
        <v>203979</v>
      </c>
      <c r="BN14" s="1">
        <v>210206</v>
      </c>
      <c r="BO14" s="1">
        <v>219338</v>
      </c>
      <c r="BP14" s="1">
        <v>223652</v>
      </c>
      <c r="BQ14" s="1">
        <v>222924</v>
      </c>
      <c r="BR14" s="1">
        <v>236984</v>
      </c>
      <c r="BS14" s="1">
        <v>245177</v>
      </c>
      <c r="BT14" s="1">
        <v>256622</v>
      </c>
      <c r="BU14" s="1">
        <v>284948</v>
      </c>
      <c r="BV14" s="1">
        <v>296649</v>
      </c>
      <c r="BW14" s="1">
        <v>321416</v>
      </c>
      <c r="BX14" s="1">
        <v>334126</v>
      </c>
      <c r="BY14" s="1">
        <v>134378</v>
      </c>
      <c r="BZ14" s="1">
        <v>145415</v>
      </c>
      <c r="CA14" s="1">
        <v>157731</v>
      </c>
      <c r="CB14" s="1">
        <v>165875</v>
      </c>
      <c r="CC14" s="1">
        <v>173260</v>
      </c>
      <c r="CD14" s="1">
        <v>185146</v>
      </c>
      <c r="CE14" s="1">
        <v>197247</v>
      </c>
      <c r="CF14" s="1">
        <v>214096</v>
      </c>
      <c r="CG14" s="1">
        <v>223293</v>
      </c>
      <c r="CH14" s="1">
        <v>238106</v>
      </c>
      <c r="CI14" s="1">
        <v>232754</v>
      </c>
      <c r="CJ14" s="1">
        <v>240250</v>
      </c>
      <c r="CK14" s="1">
        <v>252128</v>
      </c>
      <c r="CL14" s="1">
        <v>254938</v>
      </c>
      <c r="CM14" s="1">
        <v>268135</v>
      </c>
      <c r="CN14" s="1">
        <v>264425</v>
      </c>
      <c r="CO14" s="1">
        <v>272402</v>
      </c>
      <c r="CP14" s="1">
        <v>264329</v>
      </c>
      <c r="CQ14" s="1">
        <v>269326</v>
      </c>
      <c r="CR14" s="1">
        <v>270148</v>
      </c>
      <c r="CS14" s="1">
        <v>276089</v>
      </c>
      <c r="CT14" s="1">
        <v>299139</v>
      </c>
      <c r="CU14" s="1">
        <v>309314</v>
      </c>
      <c r="CV14" s="1">
        <v>327386</v>
      </c>
      <c r="CW14" s="1">
        <v>340857</v>
      </c>
      <c r="CX14" s="1">
        <v>67329</v>
      </c>
      <c r="CY14" s="1">
        <v>70371</v>
      </c>
      <c r="CZ14" s="1">
        <v>78270</v>
      </c>
      <c r="DA14" s="1">
        <v>83646</v>
      </c>
      <c r="DB14" s="1">
        <v>94568</v>
      </c>
      <c r="DC14" s="1">
        <v>98501</v>
      </c>
      <c r="DD14" s="1">
        <v>108238</v>
      </c>
      <c r="DE14" s="1">
        <v>119675</v>
      </c>
      <c r="DF14" s="1">
        <v>130400</v>
      </c>
      <c r="DG14" s="1">
        <v>136395</v>
      </c>
      <c r="DH14" s="1">
        <v>151272</v>
      </c>
      <c r="DI14" s="1">
        <v>163105</v>
      </c>
      <c r="DJ14" s="1">
        <v>166829</v>
      </c>
      <c r="DK14" s="1">
        <v>185302</v>
      </c>
      <c r="DL14" s="1">
        <v>195368</v>
      </c>
      <c r="DM14" s="1">
        <v>214164</v>
      </c>
      <c r="DN14" s="1">
        <v>218741</v>
      </c>
      <c r="DO14" s="1">
        <v>221976</v>
      </c>
      <c r="DP14" s="1">
        <v>234750</v>
      </c>
      <c r="DQ14" s="1">
        <v>242444</v>
      </c>
      <c r="DR14" s="1">
        <v>254746</v>
      </c>
      <c r="DS14" s="1">
        <v>267284</v>
      </c>
      <c r="DT14" s="1">
        <v>274723</v>
      </c>
      <c r="DU14" s="1">
        <v>282107</v>
      </c>
      <c r="DV14" s="1">
        <v>294159</v>
      </c>
      <c r="DW14" s="1">
        <v>80578</v>
      </c>
      <c r="DX14" s="1">
        <v>83651</v>
      </c>
      <c r="DY14" s="1">
        <v>89964</v>
      </c>
      <c r="DZ14" s="1">
        <v>92783</v>
      </c>
      <c r="EA14" s="1">
        <v>95336</v>
      </c>
      <c r="EB14" s="1">
        <v>99307</v>
      </c>
      <c r="EC14" s="1">
        <v>100065</v>
      </c>
      <c r="ED14" s="1">
        <v>113902</v>
      </c>
      <c r="EE14" s="1">
        <v>124596</v>
      </c>
      <c r="EF14" s="1">
        <v>132657</v>
      </c>
      <c r="EG14" s="1">
        <v>141888</v>
      </c>
      <c r="EH14" s="1">
        <v>153603</v>
      </c>
      <c r="EI14" s="1">
        <v>163332</v>
      </c>
      <c r="EJ14" s="1">
        <v>180089</v>
      </c>
      <c r="EK14" s="1">
        <v>195157</v>
      </c>
      <c r="EL14" s="1">
        <v>200204</v>
      </c>
      <c r="EM14" s="1">
        <v>218345</v>
      </c>
      <c r="EN14" s="1">
        <v>225273</v>
      </c>
      <c r="EO14" s="1">
        <v>238653</v>
      </c>
      <c r="EP14" s="1">
        <v>250737</v>
      </c>
      <c r="EQ14" s="1">
        <v>268442</v>
      </c>
      <c r="ER14" s="1">
        <v>283965</v>
      </c>
      <c r="ES14" s="1">
        <v>286551</v>
      </c>
      <c r="ET14" s="1">
        <v>299343</v>
      </c>
      <c r="EU14" s="1">
        <v>331908</v>
      </c>
    </row>
    <row r="15" spans="1:151" x14ac:dyDescent="0.25">
      <c r="A15" t="s">
        <v>19</v>
      </c>
      <c r="B15" s="1">
        <v>506817</v>
      </c>
      <c r="C15" s="1">
        <v>551460</v>
      </c>
      <c r="D15" s="1">
        <v>574278</v>
      </c>
      <c r="E15" s="1">
        <v>596782</v>
      </c>
      <c r="F15" s="1">
        <v>620600</v>
      </c>
      <c r="G15" s="1">
        <v>656154</v>
      </c>
      <c r="H15" s="1">
        <v>692609</v>
      </c>
      <c r="I15" s="1">
        <v>737321</v>
      </c>
      <c r="J15" s="1">
        <v>782564</v>
      </c>
      <c r="K15" s="1">
        <v>818108</v>
      </c>
      <c r="L15" s="1">
        <v>810556</v>
      </c>
      <c r="M15" s="1">
        <v>835940</v>
      </c>
      <c r="N15" s="1">
        <v>881146</v>
      </c>
      <c r="O15" s="1">
        <v>921492</v>
      </c>
      <c r="P15" s="1">
        <v>959181</v>
      </c>
      <c r="Q15" s="1">
        <v>996247</v>
      </c>
      <c r="R15" s="1">
        <v>1024742</v>
      </c>
      <c r="S15" s="1">
        <v>1024142</v>
      </c>
      <c r="T15" s="1">
        <v>1066523</v>
      </c>
      <c r="U15" s="1">
        <v>1122304</v>
      </c>
      <c r="V15" s="1">
        <v>1168597</v>
      </c>
      <c r="W15" s="1">
        <v>1155842</v>
      </c>
      <c r="X15" s="1">
        <v>1264002</v>
      </c>
      <c r="Y15" s="1">
        <v>1380064</v>
      </c>
      <c r="Z15" s="1">
        <v>1470746</v>
      </c>
      <c r="AA15" s="1">
        <v>116928</v>
      </c>
      <c r="AB15" s="1">
        <v>128144</v>
      </c>
      <c r="AC15" s="1">
        <v>132898</v>
      </c>
      <c r="AD15" s="1">
        <v>139266</v>
      </c>
      <c r="AE15" s="1">
        <v>140461</v>
      </c>
      <c r="AF15" s="1">
        <v>151713</v>
      </c>
      <c r="AG15" s="1">
        <v>151382</v>
      </c>
      <c r="AH15" s="1">
        <v>159672</v>
      </c>
      <c r="AI15" s="1">
        <v>166477</v>
      </c>
      <c r="AJ15" s="1">
        <v>179238</v>
      </c>
      <c r="AK15" s="1">
        <v>176651</v>
      </c>
      <c r="AL15" s="1">
        <v>183732</v>
      </c>
      <c r="AM15" s="1">
        <v>191388</v>
      </c>
      <c r="AN15" s="1">
        <v>196889</v>
      </c>
      <c r="AO15" s="1">
        <v>197999</v>
      </c>
      <c r="AP15" s="1">
        <v>202800</v>
      </c>
      <c r="AQ15" s="1">
        <v>213336</v>
      </c>
      <c r="AR15" s="1">
        <v>217584</v>
      </c>
      <c r="AS15" s="1">
        <v>229782</v>
      </c>
      <c r="AT15" s="1">
        <v>242837</v>
      </c>
      <c r="AU15" s="1">
        <v>252249</v>
      </c>
      <c r="AV15" s="1">
        <v>253472</v>
      </c>
      <c r="AW15" s="1">
        <v>278404</v>
      </c>
      <c r="AX15" s="1">
        <v>304475</v>
      </c>
      <c r="AY15" s="1">
        <v>337380</v>
      </c>
      <c r="AZ15" s="1">
        <v>174633</v>
      </c>
      <c r="BA15" s="1">
        <v>187185</v>
      </c>
      <c r="BB15" s="1">
        <v>189336</v>
      </c>
      <c r="BC15" s="1">
        <v>192570</v>
      </c>
      <c r="BD15" s="1">
        <v>192484</v>
      </c>
      <c r="BE15" s="1">
        <v>198421</v>
      </c>
      <c r="BF15" s="1">
        <v>203654</v>
      </c>
      <c r="BG15" s="1">
        <v>204549</v>
      </c>
      <c r="BH15" s="1">
        <v>213770</v>
      </c>
      <c r="BI15" s="1">
        <v>219787</v>
      </c>
      <c r="BJ15" s="1">
        <v>219657</v>
      </c>
      <c r="BK15" s="1">
        <v>218948</v>
      </c>
      <c r="BL15" s="1">
        <v>233855</v>
      </c>
      <c r="BM15" s="1">
        <v>231934</v>
      </c>
      <c r="BN15" s="1">
        <v>239680</v>
      </c>
      <c r="BO15" s="1">
        <v>252702</v>
      </c>
      <c r="BP15" s="1">
        <v>254228</v>
      </c>
      <c r="BQ15" s="1">
        <v>255324</v>
      </c>
      <c r="BR15" s="1">
        <v>267656</v>
      </c>
      <c r="BS15" s="1">
        <v>284055</v>
      </c>
      <c r="BT15" s="1">
        <v>297999</v>
      </c>
      <c r="BU15" s="1">
        <v>302208</v>
      </c>
      <c r="BV15" s="1">
        <v>323271</v>
      </c>
      <c r="BW15" s="1">
        <v>355026</v>
      </c>
      <c r="BX15" s="1">
        <v>380757</v>
      </c>
      <c r="BY15" s="1">
        <v>150695</v>
      </c>
      <c r="BZ15" s="1">
        <v>164422</v>
      </c>
      <c r="CA15" s="1">
        <v>179523</v>
      </c>
      <c r="CB15" s="1">
        <v>186702</v>
      </c>
      <c r="CC15" s="1">
        <v>196056</v>
      </c>
      <c r="CD15" s="1">
        <v>210246</v>
      </c>
      <c r="CE15" s="1">
        <v>226427</v>
      </c>
      <c r="CF15" s="1">
        <v>245284</v>
      </c>
      <c r="CG15" s="1">
        <v>259590</v>
      </c>
      <c r="CH15" s="1">
        <v>274231</v>
      </c>
      <c r="CI15" s="1">
        <v>259357</v>
      </c>
      <c r="CJ15" s="1">
        <v>262669</v>
      </c>
      <c r="CK15" s="1">
        <v>280311</v>
      </c>
      <c r="CL15" s="1">
        <v>288457</v>
      </c>
      <c r="CM15" s="1">
        <v>302736</v>
      </c>
      <c r="CN15" s="1">
        <v>302060</v>
      </c>
      <c r="CO15" s="1">
        <v>309504</v>
      </c>
      <c r="CP15" s="1">
        <v>301988</v>
      </c>
      <c r="CQ15" s="1">
        <v>304315</v>
      </c>
      <c r="CR15" s="1">
        <v>312695</v>
      </c>
      <c r="CS15" s="1">
        <v>319177</v>
      </c>
      <c r="CT15" s="1">
        <v>316503</v>
      </c>
      <c r="CU15" s="1">
        <v>343496</v>
      </c>
      <c r="CV15" s="1">
        <v>370516</v>
      </c>
      <c r="CW15" s="1">
        <v>392788</v>
      </c>
      <c r="CX15" s="1">
        <v>55741</v>
      </c>
      <c r="CY15" s="1">
        <v>60826</v>
      </c>
      <c r="CZ15" s="1">
        <v>63702</v>
      </c>
      <c r="DA15" s="1">
        <v>67254</v>
      </c>
      <c r="DB15" s="1">
        <v>79677</v>
      </c>
      <c r="DC15" s="1">
        <v>83517</v>
      </c>
      <c r="DD15" s="1">
        <v>96371</v>
      </c>
      <c r="DE15" s="1">
        <v>108054</v>
      </c>
      <c r="DF15" s="1">
        <v>120671</v>
      </c>
      <c r="DG15" s="1">
        <v>124023</v>
      </c>
      <c r="DH15" s="1">
        <v>134451</v>
      </c>
      <c r="DI15" s="1">
        <v>144069</v>
      </c>
      <c r="DJ15" s="1">
        <v>147415</v>
      </c>
      <c r="DK15" s="1">
        <v>172485</v>
      </c>
      <c r="DL15" s="1">
        <v>182376</v>
      </c>
      <c r="DM15" s="1">
        <v>200288</v>
      </c>
      <c r="DN15" s="1">
        <v>206747</v>
      </c>
      <c r="DO15" s="1">
        <v>208369</v>
      </c>
      <c r="DP15" s="1">
        <v>220501</v>
      </c>
      <c r="DQ15" s="1">
        <v>234063</v>
      </c>
      <c r="DR15" s="1">
        <v>246264</v>
      </c>
      <c r="DS15" s="1">
        <v>238614</v>
      </c>
      <c r="DT15" s="1">
        <v>263340</v>
      </c>
      <c r="DU15" s="1">
        <v>288520</v>
      </c>
      <c r="DV15" s="1">
        <v>297999</v>
      </c>
      <c r="DW15" s="1">
        <v>8820</v>
      </c>
      <c r="DX15" s="1">
        <v>10883</v>
      </c>
      <c r="DY15" s="1">
        <v>8819</v>
      </c>
      <c r="DZ15" s="1">
        <v>10990</v>
      </c>
      <c r="EA15" s="1">
        <v>11922</v>
      </c>
      <c r="EB15" s="1">
        <v>12257</v>
      </c>
      <c r="EC15" s="1">
        <v>14775</v>
      </c>
      <c r="ED15" s="1">
        <v>19762</v>
      </c>
      <c r="EE15" s="1">
        <v>22056</v>
      </c>
      <c r="EF15" s="1">
        <v>20829</v>
      </c>
      <c r="EG15" s="1">
        <v>20440</v>
      </c>
      <c r="EH15" s="1">
        <v>26522</v>
      </c>
      <c r="EI15" s="1">
        <v>28177</v>
      </c>
      <c r="EJ15" s="1">
        <v>31727</v>
      </c>
      <c r="EK15" s="1">
        <v>36390</v>
      </c>
      <c r="EL15" s="1">
        <v>38397</v>
      </c>
      <c r="EM15" s="1">
        <v>40927</v>
      </c>
      <c r="EN15" s="1">
        <v>40877</v>
      </c>
      <c r="EO15" s="1">
        <v>44269</v>
      </c>
      <c r="EP15" s="1">
        <v>48654</v>
      </c>
      <c r="EQ15" s="1">
        <v>52908</v>
      </c>
      <c r="ER15" s="1">
        <v>45046</v>
      </c>
      <c r="ES15" s="1">
        <v>55492</v>
      </c>
      <c r="ET15" s="1">
        <v>61529</v>
      </c>
      <c r="EU15" s="1">
        <v>61822</v>
      </c>
    </row>
    <row r="16" spans="1:151" x14ac:dyDescent="0.25">
      <c r="A16" t="s">
        <v>20</v>
      </c>
      <c r="B16" s="1">
        <v>97809</v>
      </c>
      <c r="C16" s="1">
        <v>102754</v>
      </c>
      <c r="D16" s="1">
        <v>107636</v>
      </c>
      <c r="E16" s="1">
        <v>111748</v>
      </c>
      <c r="F16" s="1">
        <v>116533</v>
      </c>
      <c r="G16" s="1">
        <v>122301</v>
      </c>
      <c r="H16" s="1">
        <v>125661</v>
      </c>
      <c r="I16" s="1">
        <v>131002</v>
      </c>
      <c r="J16" s="1">
        <v>138842</v>
      </c>
      <c r="K16" s="1">
        <v>143917</v>
      </c>
      <c r="L16" s="1">
        <v>144671</v>
      </c>
      <c r="M16" s="1">
        <v>151130</v>
      </c>
      <c r="N16" s="1">
        <v>157679</v>
      </c>
      <c r="O16" s="1">
        <v>162931</v>
      </c>
      <c r="P16" s="1">
        <v>167712</v>
      </c>
      <c r="Q16" s="1">
        <v>172078</v>
      </c>
      <c r="R16" s="1">
        <v>177994</v>
      </c>
      <c r="S16" s="1">
        <v>183581</v>
      </c>
      <c r="T16" s="1">
        <v>190323</v>
      </c>
      <c r="U16" s="1">
        <v>195618</v>
      </c>
      <c r="V16" s="1">
        <v>207999</v>
      </c>
      <c r="W16" s="1">
        <v>207305</v>
      </c>
      <c r="X16" s="1">
        <v>214041</v>
      </c>
      <c r="Y16" s="1">
        <v>235642</v>
      </c>
      <c r="Z16" s="1">
        <v>257594</v>
      </c>
      <c r="AA16" s="1">
        <v>16411</v>
      </c>
      <c r="AB16" s="1">
        <v>17015</v>
      </c>
      <c r="AC16" s="1">
        <v>18446</v>
      </c>
      <c r="AD16" s="1">
        <v>17939</v>
      </c>
      <c r="AE16" s="1">
        <v>16623</v>
      </c>
      <c r="AF16" s="1">
        <v>18876</v>
      </c>
      <c r="AG16" s="1">
        <v>19314</v>
      </c>
      <c r="AH16" s="1">
        <v>20833</v>
      </c>
      <c r="AI16" s="1">
        <v>21950</v>
      </c>
      <c r="AJ16" s="1">
        <v>21710</v>
      </c>
      <c r="AK16" s="1">
        <v>21225</v>
      </c>
      <c r="AL16" s="1">
        <v>23477</v>
      </c>
      <c r="AM16" s="1">
        <v>23695</v>
      </c>
      <c r="AN16" s="1">
        <v>23063</v>
      </c>
      <c r="AO16" s="1">
        <v>23428</v>
      </c>
      <c r="AP16" s="1">
        <v>24465</v>
      </c>
      <c r="AQ16" s="1">
        <v>26812</v>
      </c>
      <c r="AR16" s="1">
        <v>26365</v>
      </c>
      <c r="AS16" s="1">
        <v>27447</v>
      </c>
      <c r="AT16" s="1">
        <v>27712</v>
      </c>
      <c r="AU16" s="1">
        <v>29137</v>
      </c>
      <c r="AV16" s="1">
        <v>28322</v>
      </c>
      <c r="AW16" s="1">
        <v>31463</v>
      </c>
      <c r="AX16" s="1">
        <v>37021</v>
      </c>
      <c r="AY16" s="1">
        <v>40299</v>
      </c>
      <c r="AZ16" s="1">
        <v>28990</v>
      </c>
      <c r="BA16" s="1">
        <v>29960</v>
      </c>
      <c r="BB16" s="1">
        <v>29480</v>
      </c>
      <c r="BC16" s="1">
        <v>30513</v>
      </c>
      <c r="BD16" s="1">
        <v>32031</v>
      </c>
      <c r="BE16" s="1">
        <v>32006</v>
      </c>
      <c r="BF16" s="1">
        <v>32078</v>
      </c>
      <c r="BG16" s="1">
        <v>32063</v>
      </c>
      <c r="BH16" s="1">
        <v>33885</v>
      </c>
      <c r="BI16" s="1">
        <v>34590</v>
      </c>
      <c r="BJ16" s="1">
        <v>32712</v>
      </c>
      <c r="BK16" s="1">
        <v>32254</v>
      </c>
      <c r="BL16" s="1">
        <v>32685</v>
      </c>
      <c r="BM16" s="1">
        <v>33686</v>
      </c>
      <c r="BN16" s="1">
        <v>33810</v>
      </c>
      <c r="BO16" s="1">
        <v>34704</v>
      </c>
      <c r="BP16" s="1">
        <v>34054</v>
      </c>
      <c r="BQ16" s="1">
        <v>36272</v>
      </c>
      <c r="BR16" s="1">
        <v>37580</v>
      </c>
      <c r="BS16" s="1">
        <v>38487</v>
      </c>
      <c r="BT16" s="1">
        <v>40816</v>
      </c>
      <c r="BU16" s="1">
        <v>39587</v>
      </c>
      <c r="BV16" s="1">
        <v>40872</v>
      </c>
      <c r="BW16" s="1">
        <v>47092</v>
      </c>
      <c r="BX16" s="1">
        <v>52873</v>
      </c>
      <c r="BY16" s="1">
        <v>26426</v>
      </c>
      <c r="BZ16" s="1">
        <v>26669</v>
      </c>
      <c r="CA16" s="1">
        <v>28386</v>
      </c>
      <c r="CB16" s="1">
        <v>29860</v>
      </c>
      <c r="CC16" s="1">
        <v>31937</v>
      </c>
      <c r="CD16" s="1">
        <v>34350</v>
      </c>
      <c r="CE16" s="1">
        <v>35233</v>
      </c>
      <c r="CF16" s="1">
        <v>37207</v>
      </c>
      <c r="CG16" s="1">
        <v>38351</v>
      </c>
      <c r="CH16" s="1">
        <v>41090</v>
      </c>
      <c r="CI16" s="1">
        <v>40539</v>
      </c>
      <c r="CJ16" s="1">
        <v>40807</v>
      </c>
      <c r="CK16" s="1">
        <v>41959</v>
      </c>
      <c r="CL16" s="1">
        <v>41730</v>
      </c>
      <c r="CM16" s="1">
        <v>42578</v>
      </c>
      <c r="CN16" s="1">
        <v>41044</v>
      </c>
      <c r="CO16" s="1">
        <v>42799</v>
      </c>
      <c r="CP16" s="1">
        <v>43148</v>
      </c>
      <c r="CQ16" s="1">
        <v>42944</v>
      </c>
      <c r="CR16" s="1">
        <v>42742</v>
      </c>
      <c r="CS16" s="1">
        <v>44213</v>
      </c>
      <c r="CT16" s="1">
        <v>44505</v>
      </c>
      <c r="CU16" s="1">
        <v>45290</v>
      </c>
      <c r="CV16" s="1">
        <v>50544</v>
      </c>
      <c r="CW16" s="1">
        <v>53325</v>
      </c>
      <c r="CX16" s="1">
        <v>12915</v>
      </c>
      <c r="CY16" s="1">
        <v>14284</v>
      </c>
      <c r="CZ16" s="1">
        <v>16010</v>
      </c>
      <c r="DA16" s="1">
        <v>17362</v>
      </c>
      <c r="DB16" s="1">
        <v>19691</v>
      </c>
      <c r="DC16" s="1">
        <v>20543</v>
      </c>
      <c r="DD16" s="1">
        <v>22215</v>
      </c>
      <c r="DE16" s="1">
        <v>22976</v>
      </c>
      <c r="DF16" s="1">
        <v>24724</v>
      </c>
      <c r="DG16" s="1">
        <v>25366</v>
      </c>
      <c r="DH16" s="1">
        <v>27319</v>
      </c>
      <c r="DI16" s="1">
        <v>29594</v>
      </c>
      <c r="DJ16" s="1">
        <v>32634</v>
      </c>
      <c r="DK16" s="1">
        <v>33720</v>
      </c>
      <c r="DL16" s="1">
        <v>35463</v>
      </c>
      <c r="DM16" s="1">
        <v>38635</v>
      </c>
      <c r="DN16" s="1">
        <v>38002</v>
      </c>
      <c r="DO16" s="1">
        <v>38548</v>
      </c>
      <c r="DP16" s="1">
        <v>40079</v>
      </c>
      <c r="DQ16" s="1">
        <v>41248</v>
      </c>
      <c r="DR16" s="1">
        <v>43844</v>
      </c>
      <c r="DS16" s="1">
        <v>43439</v>
      </c>
      <c r="DT16" s="1">
        <v>47444</v>
      </c>
      <c r="DU16" s="1">
        <v>49515</v>
      </c>
      <c r="DV16" s="1">
        <v>53018</v>
      </c>
      <c r="DW16" s="1">
        <v>13067</v>
      </c>
      <c r="DX16" s="1">
        <v>14826</v>
      </c>
      <c r="DY16" s="1">
        <v>15314</v>
      </c>
      <c r="DZ16" s="1">
        <v>16074</v>
      </c>
      <c r="EA16" s="1">
        <v>16251</v>
      </c>
      <c r="EB16" s="1">
        <v>16526</v>
      </c>
      <c r="EC16" s="1">
        <v>16821</v>
      </c>
      <c r="ED16" s="1">
        <v>17923</v>
      </c>
      <c r="EE16" s="1">
        <v>19932</v>
      </c>
      <c r="EF16" s="1">
        <v>21161</v>
      </c>
      <c r="EG16" s="1">
        <v>22876</v>
      </c>
      <c r="EH16" s="1">
        <v>24998</v>
      </c>
      <c r="EI16" s="1">
        <v>26706</v>
      </c>
      <c r="EJ16" s="1">
        <v>30732</v>
      </c>
      <c r="EK16" s="1">
        <v>32433</v>
      </c>
      <c r="EL16" s="1">
        <v>33230</v>
      </c>
      <c r="EM16" s="1">
        <v>36327</v>
      </c>
      <c r="EN16" s="1">
        <v>39248</v>
      </c>
      <c r="EO16" s="1">
        <v>42273</v>
      </c>
      <c r="EP16" s="1">
        <v>45429</v>
      </c>
      <c r="EQ16" s="1">
        <v>49989</v>
      </c>
      <c r="ER16" s="1">
        <v>51450</v>
      </c>
      <c r="ES16" s="1">
        <v>48974</v>
      </c>
      <c r="ET16" s="1">
        <v>51471</v>
      </c>
      <c r="EU16" s="1">
        <v>58080</v>
      </c>
    </row>
    <row r="17" spans="1:151" x14ac:dyDescent="0.25">
      <c r="A17" t="s">
        <v>21</v>
      </c>
      <c r="B17" s="1">
        <v>111791</v>
      </c>
      <c r="C17" s="1">
        <v>117332</v>
      </c>
      <c r="D17" s="1">
        <v>116942</v>
      </c>
      <c r="E17" s="1">
        <v>109346</v>
      </c>
      <c r="F17" s="1">
        <v>108675</v>
      </c>
      <c r="G17" s="1">
        <v>113209</v>
      </c>
      <c r="H17" s="1">
        <v>122970</v>
      </c>
      <c r="I17" s="1">
        <v>137105</v>
      </c>
      <c r="J17" s="1">
        <v>153667</v>
      </c>
      <c r="K17" s="1">
        <v>160013</v>
      </c>
      <c r="L17" s="1">
        <v>152106</v>
      </c>
      <c r="M17" s="1">
        <v>152519</v>
      </c>
      <c r="N17" s="1">
        <v>162165</v>
      </c>
      <c r="O17" s="1">
        <v>170336</v>
      </c>
      <c r="P17" s="1">
        <v>175342</v>
      </c>
      <c r="Q17" s="1">
        <v>181876</v>
      </c>
      <c r="R17" s="1">
        <v>198218</v>
      </c>
      <c r="S17" s="1">
        <v>189502</v>
      </c>
      <c r="T17" s="1">
        <v>202189</v>
      </c>
      <c r="U17" s="1">
        <v>202278</v>
      </c>
      <c r="V17" s="1">
        <v>217587</v>
      </c>
      <c r="W17" s="1">
        <v>212698</v>
      </c>
      <c r="X17" s="1">
        <v>221163</v>
      </c>
      <c r="Y17" s="1">
        <v>244788</v>
      </c>
      <c r="Z17" s="1">
        <v>294027</v>
      </c>
      <c r="AA17" s="1">
        <v>11531</v>
      </c>
      <c r="AB17" s="1">
        <v>11541</v>
      </c>
      <c r="AC17" s="1">
        <v>11843</v>
      </c>
      <c r="AD17" s="1">
        <v>11042</v>
      </c>
      <c r="AE17" s="1">
        <v>10331</v>
      </c>
      <c r="AF17" s="1">
        <v>10857</v>
      </c>
      <c r="AG17" s="1">
        <v>11890</v>
      </c>
      <c r="AH17" s="1">
        <v>13177</v>
      </c>
      <c r="AI17" s="1">
        <v>14597</v>
      </c>
      <c r="AJ17" s="1">
        <v>16354</v>
      </c>
      <c r="AK17" s="1">
        <v>15442</v>
      </c>
      <c r="AL17" s="1">
        <v>16715</v>
      </c>
      <c r="AM17" s="1">
        <v>17850</v>
      </c>
      <c r="AN17" s="1">
        <v>16722</v>
      </c>
      <c r="AO17" s="1">
        <v>14729</v>
      </c>
      <c r="AP17" s="1">
        <v>15656</v>
      </c>
      <c r="AQ17" s="1">
        <v>20072</v>
      </c>
      <c r="AR17" s="1">
        <v>19373</v>
      </c>
      <c r="AS17" s="1">
        <v>20597</v>
      </c>
      <c r="AT17" s="1">
        <v>20418</v>
      </c>
      <c r="AU17" s="1">
        <v>21336</v>
      </c>
      <c r="AV17" s="1">
        <v>21401</v>
      </c>
      <c r="AW17" s="1">
        <v>23572</v>
      </c>
      <c r="AX17" s="1">
        <v>23159</v>
      </c>
      <c r="AY17" s="1">
        <v>22860</v>
      </c>
      <c r="AZ17" s="1">
        <v>23779</v>
      </c>
      <c r="BA17" s="1">
        <v>24861</v>
      </c>
      <c r="BB17" s="1">
        <v>23916</v>
      </c>
      <c r="BC17" s="1">
        <v>22110</v>
      </c>
      <c r="BD17" s="1">
        <v>21844</v>
      </c>
      <c r="BE17" s="1">
        <v>21145</v>
      </c>
      <c r="BF17" s="1">
        <v>24124</v>
      </c>
      <c r="BG17" s="1">
        <v>25969</v>
      </c>
      <c r="BH17" s="1">
        <v>27720</v>
      </c>
      <c r="BI17" s="1">
        <v>28285</v>
      </c>
      <c r="BJ17" s="1">
        <v>25247</v>
      </c>
      <c r="BK17" s="1">
        <v>24626</v>
      </c>
      <c r="BL17" s="1">
        <v>23706</v>
      </c>
      <c r="BM17" s="1">
        <v>23836</v>
      </c>
      <c r="BN17" s="1">
        <v>26022</v>
      </c>
      <c r="BO17" s="1">
        <v>26714</v>
      </c>
      <c r="BP17" s="1">
        <v>27475</v>
      </c>
      <c r="BQ17" s="1">
        <v>28330</v>
      </c>
      <c r="BR17" s="1">
        <v>30239</v>
      </c>
      <c r="BS17" s="1">
        <v>30012</v>
      </c>
      <c r="BT17" s="1">
        <v>31903</v>
      </c>
      <c r="BU17" s="1">
        <v>31785</v>
      </c>
      <c r="BV17" s="1">
        <v>34700</v>
      </c>
      <c r="BW17" s="1">
        <v>34988</v>
      </c>
      <c r="BX17" s="1">
        <v>39072</v>
      </c>
      <c r="BY17" s="1">
        <v>27162</v>
      </c>
      <c r="BZ17" s="1">
        <v>29355</v>
      </c>
      <c r="CA17" s="1">
        <v>28789</v>
      </c>
      <c r="CB17" s="1">
        <v>26645</v>
      </c>
      <c r="CC17" s="1">
        <v>26978</v>
      </c>
      <c r="CD17" s="1">
        <v>29859</v>
      </c>
      <c r="CE17" s="1">
        <v>32120</v>
      </c>
      <c r="CF17" s="1">
        <v>37068</v>
      </c>
      <c r="CG17" s="1">
        <v>40822</v>
      </c>
      <c r="CH17" s="1">
        <v>42079</v>
      </c>
      <c r="CI17" s="1">
        <v>37998</v>
      </c>
      <c r="CJ17" s="1">
        <v>37020</v>
      </c>
      <c r="CK17" s="1">
        <v>38797</v>
      </c>
      <c r="CL17" s="1">
        <v>40008</v>
      </c>
      <c r="CM17" s="1">
        <v>42249</v>
      </c>
      <c r="CN17" s="1">
        <v>41567</v>
      </c>
      <c r="CO17" s="1">
        <v>46206</v>
      </c>
      <c r="CP17" s="1">
        <v>41457</v>
      </c>
      <c r="CQ17" s="1">
        <v>42318</v>
      </c>
      <c r="CR17" s="1">
        <v>40639</v>
      </c>
      <c r="CS17" s="1">
        <v>42148</v>
      </c>
      <c r="CT17" s="1">
        <v>40122</v>
      </c>
      <c r="CU17" s="1">
        <v>44789</v>
      </c>
      <c r="CV17" s="1">
        <v>47136</v>
      </c>
      <c r="CW17" s="1">
        <v>50796</v>
      </c>
      <c r="CX17" s="1">
        <v>19685</v>
      </c>
      <c r="CY17" s="1">
        <v>20176</v>
      </c>
      <c r="CZ17" s="1">
        <v>20871</v>
      </c>
      <c r="DA17" s="1">
        <v>20389</v>
      </c>
      <c r="DB17" s="1">
        <v>21017</v>
      </c>
      <c r="DC17" s="1">
        <v>22308</v>
      </c>
      <c r="DD17" s="1">
        <v>25750</v>
      </c>
      <c r="DE17" s="1">
        <v>28332</v>
      </c>
      <c r="DF17" s="1">
        <v>31793</v>
      </c>
      <c r="DG17" s="1">
        <v>32654</v>
      </c>
      <c r="DH17" s="1">
        <v>33588</v>
      </c>
      <c r="DI17" s="1">
        <v>33779</v>
      </c>
      <c r="DJ17" s="1">
        <v>35689</v>
      </c>
      <c r="DK17" s="1">
        <v>37352</v>
      </c>
      <c r="DL17" s="1">
        <v>37672</v>
      </c>
      <c r="DM17" s="1">
        <v>40637</v>
      </c>
      <c r="DN17" s="1">
        <v>42822</v>
      </c>
      <c r="DO17" s="1">
        <v>43184</v>
      </c>
      <c r="DP17" s="1">
        <v>46301</v>
      </c>
      <c r="DQ17" s="1">
        <v>46270</v>
      </c>
      <c r="DR17" s="1">
        <v>49619</v>
      </c>
      <c r="DS17" s="1">
        <v>47774</v>
      </c>
      <c r="DT17" s="1">
        <v>47267</v>
      </c>
      <c r="DU17" s="1">
        <v>51244</v>
      </c>
      <c r="DV17" s="1">
        <v>61421</v>
      </c>
      <c r="DW17" s="1">
        <v>29634</v>
      </c>
      <c r="DX17" s="1">
        <v>31399</v>
      </c>
      <c r="DY17" s="1">
        <v>31523</v>
      </c>
      <c r="DZ17" s="1">
        <v>29160</v>
      </c>
      <c r="EA17" s="1">
        <v>28505</v>
      </c>
      <c r="EB17" s="1">
        <v>29040</v>
      </c>
      <c r="EC17" s="1">
        <v>29086</v>
      </c>
      <c r="ED17" s="1">
        <v>32559</v>
      </c>
      <c r="EE17" s="1">
        <v>38735</v>
      </c>
      <c r="EF17" s="1">
        <v>40641</v>
      </c>
      <c r="EG17" s="1">
        <v>39831</v>
      </c>
      <c r="EH17" s="1">
        <v>40379</v>
      </c>
      <c r="EI17" s="1">
        <v>46123</v>
      </c>
      <c r="EJ17" s="1">
        <v>52418</v>
      </c>
      <c r="EK17" s="1">
        <v>54670</v>
      </c>
      <c r="EL17" s="1">
        <v>57302</v>
      </c>
      <c r="EM17" s="1">
        <v>61643</v>
      </c>
      <c r="EN17" s="1">
        <v>57158</v>
      </c>
      <c r="EO17" s="1">
        <v>62734</v>
      </c>
      <c r="EP17" s="1">
        <v>64939</v>
      </c>
      <c r="EQ17" s="1">
        <v>72581</v>
      </c>
      <c r="ER17" s="1">
        <v>71617</v>
      </c>
      <c r="ES17" s="1">
        <v>70834</v>
      </c>
      <c r="ET17" s="1">
        <v>88259</v>
      </c>
      <c r="EU17" s="1">
        <v>119877</v>
      </c>
    </row>
    <row r="18" spans="1:151" x14ac:dyDescent="0.25">
      <c r="A18" t="s">
        <v>22</v>
      </c>
      <c r="B18" s="1">
        <v>36406</v>
      </c>
      <c r="C18" s="1">
        <v>41597</v>
      </c>
      <c r="D18" s="1">
        <v>41204</v>
      </c>
      <c r="E18" s="1">
        <v>37300</v>
      </c>
      <c r="F18" s="1">
        <v>39081</v>
      </c>
      <c r="G18" s="1">
        <v>40156</v>
      </c>
      <c r="H18" s="1">
        <v>43309</v>
      </c>
      <c r="I18" s="1">
        <v>52632</v>
      </c>
      <c r="J18" s="1">
        <v>61313</v>
      </c>
      <c r="K18" s="1">
        <v>63921</v>
      </c>
      <c r="L18" s="1">
        <v>55559</v>
      </c>
      <c r="M18" s="1">
        <v>54143</v>
      </c>
      <c r="N18" s="1">
        <v>54580</v>
      </c>
      <c r="O18" s="1">
        <v>55598</v>
      </c>
      <c r="P18" s="1">
        <v>56232</v>
      </c>
      <c r="Q18" s="1">
        <v>55857</v>
      </c>
      <c r="R18" s="1">
        <v>56033</v>
      </c>
      <c r="S18" s="1">
        <v>56405</v>
      </c>
      <c r="T18" s="1">
        <v>60186</v>
      </c>
      <c r="U18" s="1">
        <v>70213</v>
      </c>
      <c r="V18" s="1">
        <v>79808</v>
      </c>
      <c r="W18" s="1">
        <v>73097</v>
      </c>
      <c r="X18" s="1">
        <v>66808</v>
      </c>
      <c r="Y18" s="1">
        <v>84518</v>
      </c>
      <c r="Z18" s="1">
        <v>132778</v>
      </c>
      <c r="AA18" s="1">
        <v>7534</v>
      </c>
      <c r="AB18" s="1">
        <v>8972</v>
      </c>
      <c r="AC18" s="1">
        <v>8604</v>
      </c>
      <c r="AD18" s="1">
        <v>7815</v>
      </c>
      <c r="AE18" s="1">
        <v>7786</v>
      </c>
      <c r="AF18" s="1">
        <v>7825</v>
      </c>
      <c r="AG18" s="1">
        <v>7990</v>
      </c>
      <c r="AH18" s="1">
        <v>9949</v>
      </c>
      <c r="AI18" s="1">
        <v>11354</v>
      </c>
      <c r="AJ18" s="1">
        <v>11804</v>
      </c>
      <c r="AK18" s="1">
        <v>10080</v>
      </c>
      <c r="AL18" s="1">
        <v>10214</v>
      </c>
      <c r="AM18" s="1">
        <v>10521</v>
      </c>
      <c r="AN18" s="1">
        <v>10881</v>
      </c>
      <c r="AO18" s="1">
        <v>10735</v>
      </c>
      <c r="AP18" s="1">
        <v>10534</v>
      </c>
      <c r="AQ18" s="1">
        <v>11096</v>
      </c>
      <c r="AR18" s="1">
        <v>11019</v>
      </c>
      <c r="AS18" s="1">
        <v>11844</v>
      </c>
      <c r="AT18" s="1">
        <v>13759</v>
      </c>
      <c r="AU18" s="1">
        <v>15599</v>
      </c>
      <c r="AV18" s="1">
        <v>14443</v>
      </c>
      <c r="AW18" s="1">
        <v>13690</v>
      </c>
      <c r="AX18" s="1">
        <v>17150</v>
      </c>
      <c r="AY18" s="1">
        <v>27654</v>
      </c>
      <c r="AZ18" s="1">
        <v>11249</v>
      </c>
      <c r="BA18" s="1">
        <v>12905</v>
      </c>
      <c r="BB18" s="1">
        <v>12411</v>
      </c>
      <c r="BC18" s="1">
        <v>10936</v>
      </c>
      <c r="BD18" s="1">
        <v>11118</v>
      </c>
      <c r="BE18" s="1">
        <v>10538</v>
      </c>
      <c r="BF18" s="1">
        <v>11288</v>
      </c>
      <c r="BG18" s="1">
        <v>12901</v>
      </c>
      <c r="BH18" s="1">
        <v>14708</v>
      </c>
      <c r="BI18" s="1">
        <v>14716</v>
      </c>
      <c r="BJ18" s="1">
        <v>12615</v>
      </c>
      <c r="BK18" s="1">
        <v>12445</v>
      </c>
      <c r="BL18" s="1">
        <v>12974</v>
      </c>
      <c r="BM18" s="1">
        <v>13660</v>
      </c>
      <c r="BN18" s="1">
        <v>14103</v>
      </c>
      <c r="BO18" s="1">
        <v>14467</v>
      </c>
      <c r="BP18" s="1">
        <v>13942</v>
      </c>
      <c r="BQ18" s="1">
        <v>14231</v>
      </c>
      <c r="BR18" s="1">
        <v>15168</v>
      </c>
      <c r="BS18" s="1">
        <v>17848</v>
      </c>
      <c r="BT18" s="1">
        <v>20469</v>
      </c>
      <c r="BU18" s="1">
        <v>18883</v>
      </c>
      <c r="BV18" s="1">
        <v>17359</v>
      </c>
      <c r="BW18" s="1">
        <v>22039</v>
      </c>
      <c r="BX18" s="1">
        <v>36079</v>
      </c>
      <c r="BY18" s="1">
        <v>9136</v>
      </c>
      <c r="BZ18" s="1">
        <v>10305</v>
      </c>
      <c r="CA18" s="1">
        <v>10628</v>
      </c>
      <c r="CB18" s="1">
        <v>9693</v>
      </c>
      <c r="CC18" s="1">
        <v>10069</v>
      </c>
      <c r="CD18" s="1">
        <v>10314</v>
      </c>
      <c r="CE18" s="1">
        <v>11506</v>
      </c>
      <c r="CF18" s="1">
        <v>14011</v>
      </c>
      <c r="CG18" s="1">
        <v>16437</v>
      </c>
      <c r="CH18" s="1">
        <v>17331</v>
      </c>
      <c r="CI18" s="1">
        <v>15064</v>
      </c>
      <c r="CJ18" s="1">
        <v>14288</v>
      </c>
      <c r="CK18" s="1">
        <v>14025</v>
      </c>
      <c r="CL18" s="1">
        <v>14312</v>
      </c>
      <c r="CM18" s="1">
        <v>14967</v>
      </c>
      <c r="CN18" s="1">
        <v>14356</v>
      </c>
      <c r="CO18" s="1">
        <v>13972</v>
      </c>
      <c r="CP18" s="1">
        <v>13664</v>
      </c>
      <c r="CQ18" s="1">
        <v>14060</v>
      </c>
      <c r="CR18" s="1">
        <v>15978</v>
      </c>
      <c r="CS18" s="1">
        <v>17824</v>
      </c>
      <c r="CT18" s="1">
        <v>15949</v>
      </c>
      <c r="CU18" s="1">
        <v>15400</v>
      </c>
      <c r="CV18" s="1">
        <v>20011</v>
      </c>
      <c r="CW18" s="1">
        <v>29872</v>
      </c>
      <c r="CX18" s="1">
        <v>4277</v>
      </c>
      <c r="CY18" s="1">
        <v>4796</v>
      </c>
      <c r="CZ18" s="1">
        <v>5042</v>
      </c>
      <c r="DA18" s="1">
        <v>4599</v>
      </c>
      <c r="DB18" s="1">
        <v>5076</v>
      </c>
      <c r="DC18" s="1">
        <v>5851</v>
      </c>
      <c r="DD18" s="1">
        <v>6434</v>
      </c>
      <c r="DE18" s="1">
        <v>8131</v>
      </c>
      <c r="DF18" s="1">
        <v>9869</v>
      </c>
      <c r="DG18" s="1">
        <v>10718</v>
      </c>
      <c r="DH18" s="1">
        <v>9590</v>
      </c>
      <c r="DI18" s="1">
        <v>9311</v>
      </c>
      <c r="DJ18" s="1">
        <v>9396</v>
      </c>
      <c r="DK18" s="1">
        <v>9230</v>
      </c>
      <c r="DL18" s="1">
        <v>9095</v>
      </c>
      <c r="DM18" s="1">
        <v>9390</v>
      </c>
      <c r="DN18" s="1">
        <v>9273</v>
      </c>
      <c r="DO18" s="1">
        <v>9715</v>
      </c>
      <c r="DP18" s="1">
        <v>10455</v>
      </c>
      <c r="DQ18" s="1">
        <v>12240</v>
      </c>
      <c r="DR18" s="1">
        <v>13943</v>
      </c>
      <c r="DS18" s="1">
        <v>12723</v>
      </c>
      <c r="DT18" s="1">
        <v>11040</v>
      </c>
      <c r="DU18" s="1">
        <v>13863</v>
      </c>
      <c r="DV18" s="1">
        <v>21531</v>
      </c>
      <c r="DW18" s="1">
        <v>4210</v>
      </c>
      <c r="DX18" s="1">
        <v>4619</v>
      </c>
      <c r="DY18" s="1">
        <v>4519</v>
      </c>
      <c r="DZ18" s="1">
        <v>4257</v>
      </c>
      <c r="EA18" s="1">
        <v>5032</v>
      </c>
      <c r="EB18" s="1">
        <v>5628</v>
      </c>
      <c r="EC18" s="1">
        <v>6091</v>
      </c>
      <c r="ED18" s="1">
        <v>7640</v>
      </c>
      <c r="EE18" s="1">
        <v>8945</v>
      </c>
      <c r="EF18" s="1">
        <v>9352</v>
      </c>
      <c r="EG18" s="1">
        <v>8210</v>
      </c>
      <c r="EH18" s="1">
        <v>7885</v>
      </c>
      <c r="EI18" s="1">
        <v>7664</v>
      </c>
      <c r="EJ18" s="1">
        <v>7515</v>
      </c>
      <c r="EK18" s="1">
        <v>7332</v>
      </c>
      <c r="EL18" s="1">
        <v>7110</v>
      </c>
      <c r="EM18" s="1">
        <v>7750</v>
      </c>
      <c r="EN18" s="1">
        <v>7776</v>
      </c>
      <c r="EO18" s="1">
        <v>8659</v>
      </c>
      <c r="EP18" s="1">
        <v>10388</v>
      </c>
      <c r="EQ18" s="1">
        <v>11973</v>
      </c>
      <c r="ER18" s="1">
        <v>11099</v>
      </c>
      <c r="ES18" s="1">
        <v>9319</v>
      </c>
      <c r="ET18" s="1">
        <v>11455</v>
      </c>
      <c r="EU18" s="1">
        <v>17643</v>
      </c>
    </row>
    <row r="19" spans="1:151" x14ac:dyDescent="0.25">
      <c r="A19" t="s">
        <v>23</v>
      </c>
      <c r="B19" s="1">
        <v>129447</v>
      </c>
      <c r="C19" s="1">
        <v>131513</v>
      </c>
      <c r="D19" s="1">
        <v>145676</v>
      </c>
      <c r="E19" s="1">
        <v>147574</v>
      </c>
      <c r="F19" s="1">
        <v>153189</v>
      </c>
      <c r="G19" s="1">
        <v>160966</v>
      </c>
      <c r="H19" s="1">
        <v>165651</v>
      </c>
      <c r="I19" s="1">
        <v>182779</v>
      </c>
      <c r="J19" s="1">
        <v>194544</v>
      </c>
      <c r="K19" s="1">
        <v>204188</v>
      </c>
      <c r="L19" s="1">
        <v>218275</v>
      </c>
      <c r="M19" s="1">
        <v>232400</v>
      </c>
      <c r="N19" s="1">
        <v>236877</v>
      </c>
      <c r="O19" s="1">
        <v>246062</v>
      </c>
      <c r="P19" s="1">
        <v>258527</v>
      </c>
      <c r="Q19" s="1">
        <v>266153</v>
      </c>
      <c r="R19" s="1">
        <v>288200</v>
      </c>
      <c r="S19" s="1">
        <v>307078</v>
      </c>
      <c r="T19" s="1">
        <v>320918</v>
      </c>
      <c r="U19" s="1">
        <v>334066</v>
      </c>
      <c r="V19" s="1">
        <v>346107</v>
      </c>
      <c r="W19" s="1">
        <v>468952</v>
      </c>
      <c r="X19" s="1">
        <v>443036</v>
      </c>
      <c r="Y19" s="1">
        <v>422465</v>
      </c>
      <c r="Z19" s="1">
        <v>441837</v>
      </c>
      <c r="AA19" s="1">
        <v>16903</v>
      </c>
      <c r="AB19" s="1">
        <v>17055</v>
      </c>
      <c r="AC19" s="1">
        <v>17937</v>
      </c>
      <c r="AD19" s="1">
        <v>18632</v>
      </c>
      <c r="AE19" s="1">
        <v>17980</v>
      </c>
      <c r="AF19" s="1">
        <v>18383</v>
      </c>
      <c r="AG19" s="1">
        <v>18990</v>
      </c>
      <c r="AH19" s="1">
        <v>21236</v>
      </c>
      <c r="AI19" s="1">
        <v>23108</v>
      </c>
      <c r="AJ19" s="1">
        <v>24511</v>
      </c>
      <c r="AK19" s="1">
        <v>26336</v>
      </c>
      <c r="AL19" s="1">
        <v>28132</v>
      </c>
      <c r="AM19" s="1">
        <v>26921</v>
      </c>
      <c r="AN19" s="1">
        <v>25819</v>
      </c>
      <c r="AO19" s="1">
        <v>26666</v>
      </c>
      <c r="AP19" s="1">
        <v>26991</v>
      </c>
      <c r="AQ19" s="1">
        <v>30245</v>
      </c>
      <c r="AR19" s="1">
        <v>31429</v>
      </c>
      <c r="AS19" s="1">
        <v>32022</v>
      </c>
      <c r="AT19" s="1">
        <v>32890</v>
      </c>
      <c r="AU19" s="1">
        <v>34153</v>
      </c>
      <c r="AV19" s="1">
        <v>64638</v>
      </c>
      <c r="AW19" s="1">
        <v>58563</v>
      </c>
      <c r="AX19" s="1">
        <v>46155</v>
      </c>
      <c r="AY19" s="1">
        <v>46420</v>
      </c>
      <c r="AZ19" s="1">
        <v>19700</v>
      </c>
      <c r="BA19" s="1">
        <v>20252</v>
      </c>
      <c r="BB19" s="1">
        <v>21406</v>
      </c>
      <c r="BC19" s="1">
        <v>20713</v>
      </c>
      <c r="BD19" s="1">
        <v>21421</v>
      </c>
      <c r="BE19" s="1">
        <v>21652</v>
      </c>
      <c r="BF19" s="1">
        <v>22273</v>
      </c>
      <c r="BG19" s="1">
        <v>23659</v>
      </c>
      <c r="BH19" s="1">
        <v>24705</v>
      </c>
      <c r="BI19" s="1">
        <v>24711</v>
      </c>
      <c r="BJ19" s="1">
        <v>26108</v>
      </c>
      <c r="BK19" s="1">
        <v>27755</v>
      </c>
      <c r="BL19" s="1">
        <v>27607</v>
      </c>
      <c r="BM19" s="1">
        <v>28272</v>
      </c>
      <c r="BN19" s="1">
        <v>27717</v>
      </c>
      <c r="BO19" s="1">
        <v>27372</v>
      </c>
      <c r="BP19" s="1">
        <v>31406</v>
      </c>
      <c r="BQ19" s="1">
        <v>33335</v>
      </c>
      <c r="BR19" s="1">
        <v>35933</v>
      </c>
      <c r="BS19" s="1">
        <v>37261</v>
      </c>
      <c r="BT19" s="1">
        <v>38947</v>
      </c>
      <c r="BU19" s="1">
        <v>63269</v>
      </c>
      <c r="BV19" s="1">
        <v>60731</v>
      </c>
      <c r="BW19" s="1">
        <v>52692</v>
      </c>
      <c r="BX19" s="1">
        <v>56162</v>
      </c>
      <c r="BY19" s="1">
        <v>14478</v>
      </c>
      <c r="BZ19" s="1">
        <v>15464</v>
      </c>
      <c r="CA19" s="1">
        <v>17205</v>
      </c>
      <c r="CB19" s="1">
        <v>17042</v>
      </c>
      <c r="CC19" s="1">
        <v>17178</v>
      </c>
      <c r="CD19" s="1">
        <v>18323</v>
      </c>
      <c r="CE19" s="1">
        <v>20298</v>
      </c>
      <c r="CF19" s="1">
        <v>22409</v>
      </c>
      <c r="CG19" s="1">
        <v>23637</v>
      </c>
      <c r="CH19" s="1">
        <v>25321</v>
      </c>
      <c r="CI19" s="1">
        <v>27232</v>
      </c>
      <c r="CJ19" s="1">
        <v>28649</v>
      </c>
      <c r="CK19" s="1">
        <v>29146</v>
      </c>
      <c r="CL19" s="1">
        <v>27614</v>
      </c>
      <c r="CM19" s="1">
        <v>28714</v>
      </c>
      <c r="CN19" s="1">
        <v>28065</v>
      </c>
      <c r="CO19" s="1">
        <v>29192</v>
      </c>
      <c r="CP19" s="1">
        <v>31743</v>
      </c>
      <c r="CQ19" s="1">
        <v>33425</v>
      </c>
      <c r="CR19" s="1">
        <v>33542</v>
      </c>
      <c r="CS19" s="1">
        <v>34143</v>
      </c>
      <c r="CT19" s="1">
        <v>58244</v>
      </c>
      <c r="CU19" s="1">
        <v>47229</v>
      </c>
      <c r="CV19" s="1">
        <v>41303</v>
      </c>
      <c r="CW19" s="1">
        <v>41146</v>
      </c>
      <c r="CX19" s="1">
        <v>19937</v>
      </c>
      <c r="CY19" s="1">
        <v>20009</v>
      </c>
      <c r="CZ19" s="1">
        <v>23758</v>
      </c>
      <c r="DA19" s="1">
        <v>24379</v>
      </c>
      <c r="DB19" s="1">
        <v>26152</v>
      </c>
      <c r="DC19" s="1">
        <v>27667</v>
      </c>
      <c r="DD19" s="1">
        <v>28171</v>
      </c>
      <c r="DE19" s="1">
        <v>31168</v>
      </c>
      <c r="DF19" s="1">
        <v>32672</v>
      </c>
      <c r="DG19" s="1">
        <v>34098</v>
      </c>
      <c r="DH19" s="1">
        <v>36354</v>
      </c>
      <c r="DI19" s="1">
        <v>39945</v>
      </c>
      <c r="DJ19" s="1">
        <v>40328</v>
      </c>
      <c r="DK19" s="1">
        <v>41181</v>
      </c>
      <c r="DL19" s="1">
        <v>44189</v>
      </c>
      <c r="DM19" s="1">
        <v>46383</v>
      </c>
      <c r="DN19" s="1">
        <v>46514</v>
      </c>
      <c r="DO19" s="1">
        <v>50813</v>
      </c>
      <c r="DP19" s="1">
        <v>52053</v>
      </c>
      <c r="DQ19" s="1">
        <v>53504</v>
      </c>
      <c r="DR19" s="1">
        <v>54495</v>
      </c>
      <c r="DS19" s="1">
        <v>75061</v>
      </c>
      <c r="DT19" s="1">
        <v>69199</v>
      </c>
      <c r="DU19" s="1">
        <v>62103</v>
      </c>
      <c r="DV19" s="1">
        <v>63914</v>
      </c>
      <c r="DW19" s="1">
        <v>58429</v>
      </c>
      <c r="DX19" s="1">
        <v>58733</v>
      </c>
      <c r="DY19" s="1">
        <v>65370</v>
      </c>
      <c r="DZ19" s="1">
        <v>66808</v>
      </c>
      <c r="EA19" s="1">
        <v>70458</v>
      </c>
      <c r="EB19" s="1">
        <v>74941</v>
      </c>
      <c r="EC19" s="1">
        <v>75919</v>
      </c>
      <c r="ED19" s="1">
        <v>84307</v>
      </c>
      <c r="EE19" s="1">
        <v>90422</v>
      </c>
      <c r="EF19" s="1">
        <v>95547</v>
      </c>
      <c r="EG19" s="1">
        <v>102245</v>
      </c>
      <c r="EH19" s="1">
        <v>107919</v>
      </c>
      <c r="EI19" s="1">
        <v>112875</v>
      </c>
      <c r="EJ19" s="1">
        <v>123176</v>
      </c>
      <c r="EK19" s="1">
        <v>131241</v>
      </c>
      <c r="EL19" s="1">
        <v>137342</v>
      </c>
      <c r="EM19" s="1">
        <v>150843</v>
      </c>
      <c r="EN19" s="1">
        <v>159758</v>
      </c>
      <c r="EO19" s="1">
        <v>167485</v>
      </c>
      <c r="EP19" s="1">
        <v>176869</v>
      </c>
      <c r="EQ19" s="1">
        <v>184369</v>
      </c>
      <c r="ER19" s="1">
        <v>207740</v>
      </c>
      <c r="ES19" s="1">
        <v>207314</v>
      </c>
      <c r="ET19" s="1">
        <v>220212</v>
      </c>
      <c r="EU19" s="1">
        <v>234195</v>
      </c>
    </row>
    <row r="20" spans="1:151" x14ac:dyDescent="0.25">
      <c r="A20" t="s">
        <v>24</v>
      </c>
      <c r="B20" s="1">
        <v>263197</v>
      </c>
      <c r="C20" s="1">
        <v>281779</v>
      </c>
      <c r="D20" s="1">
        <v>288042</v>
      </c>
      <c r="E20" s="1">
        <v>285566</v>
      </c>
      <c r="F20" s="1">
        <v>296677</v>
      </c>
      <c r="G20" s="1">
        <v>317236</v>
      </c>
      <c r="H20" s="1">
        <v>342072</v>
      </c>
      <c r="I20" s="1">
        <v>361200</v>
      </c>
      <c r="J20" s="1">
        <v>391983</v>
      </c>
      <c r="K20" s="1">
        <v>399901</v>
      </c>
      <c r="L20" s="1">
        <v>385266</v>
      </c>
      <c r="M20" s="1">
        <v>389755</v>
      </c>
      <c r="N20" s="1">
        <v>421185</v>
      </c>
      <c r="O20" s="1">
        <v>443969</v>
      </c>
      <c r="P20" s="1">
        <v>457739</v>
      </c>
      <c r="Q20" s="1">
        <v>478843</v>
      </c>
      <c r="R20" s="1">
        <v>503246</v>
      </c>
      <c r="S20" s="1">
        <v>515135</v>
      </c>
      <c r="T20" s="1">
        <v>530401</v>
      </c>
      <c r="U20" s="1">
        <v>559134</v>
      </c>
      <c r="V20" s="1">
        <v>580120</v>
      </c>
      <c r="W20" s="1">
        <v>584041</v>
      </c>
      <c r="X20" s="1">
        <v>640062</v>
      </c>
      <c r="Y20" s="1">
        <v>684152</v>
      </c>
      <c r="Z20" s="1">
        <v>733473</v>
      </c>
      <c r="AA20" s="1">
        <v>45268</v>
      </c>
      <c r="AB20" s="1">
        <v>49073</v>
      </c>
      <c r="AC20" s="1">
        <v>51179</v>
      </c>
      <c r="AD20" s="1">
        <v>51791</v>
      </c>
      <c r="AE20" s="1">
        <v>51690</v>
      </c>
      <c r="AF20" s="1">
        <v>56954</v>
      </c>
      <c r="AG20" s="1">
        <v>57489</v>
      </c>
      <c r="AH20" s="1">
        <v>60726</v>
      </c>
      <c r="AI20" s="1">
        <v>65686</v>
      </c>
      <c r="AJ20" s="1">
        <v>69397</v>
      </c>
      <c r="AK20" s="1">
        <v>67676</v>
      </c>
      <c r="AL20" s="1">
        <v>69578</v>
      </c>
      <c r="AM20" s="1">
        <v>73605</v>
      </c>
      <c r="AN20" s="1">
        <v>74666</v>
      </c>
      <c r="AO20" s="1">
        <v>74162</v>
      </c>
      <c r="AP20" s="1">
        <v>75855</v>
      </c>
      <c r="AQ20" s="1">
        <v>82634</v>
      </c>
      <c r="AR20" s="1">
        <v>85471</v>
      </c>
      <c r="AS20" s="1">
        <v>88351</v>
      </c>
      <c r="AT20" s="1">
        <v>93685</v>
      </c>
      <c r="AU20" s="1">
        <v>96813</v>
      </c>
      <c r="AV20" s="1">
        <v>101066</v>
      </c>
      <c r="AW20" s="1">
        <v>110175</v>
      </c>
      <c r="AX20" s="1">
        <v>109623</v>
      </c>
      <c r="AY20" s="1">
        <v>122402</v>
      </c>
      <c r="AZ20" s="1">
        <v>80848</v>
      </c>
      <c r="BA20" s="1">
        <v>84817</v>
      </c>
      <c r="BB20" s="1">
        <v>83747</v>
      </c>
      <c r="BC20" s="1">
        <v>81963</v>
      </c>
      <c r="BD20" s="1">
        <v>82506</v>
      </c>
      <c r="BE20" s="1">
        <v>85452</v>
      </c>
      <c r="BF20" s="1">
        <v>90978</v>
      </c>
      <c r="BG20" s="1">
        <v>90880</v>
      </c>
      <c r="BH20" s="1">
        <v>96432</v>
      </c>
      <c r="BI20" s="1">
        <v>98023</v>
      </c>
      <c r="BJ20" s="1">
        <v>94138</v>
      </c>
      <c r="BK20" s="1">
        <v>92269</v>
      </c>
      <c r="BL20" s="1">
        <v>100794</v>
      </c>
      <c r="BM20" s="1">
        <v>100089</v>
      </c>
      <c r="BN20" s="1">
        <v>102920</v>
      </c>
      <c r="BO20" s="1">
        <v>107687</v>
      </c>
      <c r="BP20" s="1">
        <v>109569</v>
      </c>
      <c r="BQ20" s="1">
        <v>116106</v>
      </c>
      <c r="BR20" s="1">
        <v>119256</v>
      </c>
      <c r="BS20" s="1">
        <v>126790</v>
      </c>
      <c r="BT20" s="1">
        <v>132574</v>
      </c>
      <c r="BU20" s="1">
        <v>133018</v>
      </c>
      <c r="BV20" s="1">
        <v>145566</v>
      </c>
      <c r="BW20" s="1">
        <v>146343</v>
      </c>
      <c r="BX20" s="1">
        <v>158658</v>
      </c>
      <c r="BY20" s="1">
        <v>75247</v>
      </c>
      <c r="BZ20" s="1">
        <v>80190</v>
      </c>
      <c r="CA20" s="1">
        <v>85544</v>
      </c>
      <c r="CB20" s="1">
        <v>84681</v>
      </c>
      <c r="CC20" s="1">
        <v>88820</v>
      </c>
      <c r="CD20" s="1">
        <v>97318</v>
      </c>
      <c r="CE20" s="1">
        <v>105325</v>
      </c>
      <c r="CF20" s="1">
        <v>113861</v>
      </c>
      <c r="CG20" s="1">
        <v>122670</v>
      </c>
      <c r="CH20" s="1">
        <v>127284</v>
      </c>
      <c r="CI20" s="1">
        <v>117308</v>
      </c>
      <c r="CJ20" s="1">
        <v>114607</v>
      </c>
      <c r="CK20" s="1">
        <v>124060</v>
      </c>
      <c r="CL20" s="1">
        <v>128559</v>
      </c>
      <c r="CM20" s="1">
        <v>133175</v>
      </c>
      <c r="CN20" s="1">
        <v>133955</v>
      </c>
      <c r="CO20" s="1">
        <v>141327</v>
      </c>
      <c r="CP20" s="1">
        <v>140343</v>
      </c>
      <c r="CQ20" s="1">
        <v>139616</v>
      </c>
      <c r="CR20" s="1">
        <v>143492</v>
      </c>
      <c r="CS20" s="1">
        <v>145768</v>
      </c>
      <c r="CT20" s="1">
        <v>144286</v>
      </c>
      <c r="CU20" s="1">
        <v>156090</v>
      </c>
      <c r="CV20" s="1">
        <v>162102</v>
      </c>
      <c r="CW20" s="1">
        <v>167326</v>
      </c>
      <c r="CX20" s="1">
        <v>36672</v>
      </c>
      <c r="CY20" s="1">
        <v>40128</v>
      </c>
      <c r="CZ20" s="1">
        <v>41029</v>
      </c>
      <c r="DA20" s="1">
        <v>41139</v>
      </c>
      <c r="DB20" s="1">
        <v>46893</v>
      </c>
      <c r="DC20" s="1">
        <v>49683</v>
      </c>
      <c r="DD20" s="1">
        <v>57835</v>
      </c>
      <c r="DE20" s="1">
        <v>62724</v>
      </c>
      <c r="DF20" s="1">
        <v>69591</v>
      </c>
      <c r="DG20" s="1">
        <v>69028</v>
      </c>
      <c r="DH20" s="1">
        <v>70850</v>
      </c>
      <c r="DI20" s="1">
        <v>74971</v>
      </c>
      <c r="DJ20" s="1">
        <v>79841</v>
      </c>
      <c r="DK20" s="1">
        <v>90206</v>
      </c>
      <c r="DL20" s="1">
        <v>95237</v>
      </c>
      <c r="DM20" s="1">
        <v>102389</v>
      </c>
      <c r="DN20" s="1">
        <v>106071</v>
      </c>
      <c r="DO20" s="1">
        <v>109223</v>
      </c>
      <c r="DP20" s="1">
        <v>113729</v>
      </c>
      <c r="DQ20" s="1">
        <v>120401</v>
      </c>
      <c r="DR20" s="1">
        <v>125533</v>
      </c>
      <c r="DS20" s="1">
        <v>124881</v>
      </c>
      <c r="DT20" s="1">
        <v>141487</v>
      </c>
      <c r="DU20" s="1">
        <v>155412</v>
      </c>
      <c r="DV20" s="1">
        <v>160662</v>
      </c>
      <c r="DW20" s="1">
        <v>25162</v>
      </c>
      <c r="DX20" s="1">
        <v>27571</v>
      </c>
      <c r="DY20" s="1">
        <v>26543</v>
      </c>
      <c r="DZ20" s="1">
        <v>25992</v>
      </c>
      <c r="EA20" s="1">
        <v>26768</v>
      </c>
      <c r="EB20" s="1">
        <v>27829</v>
      </c>
      <c r="EC20" s="1">
        <v>30445</v>
      </c>
      <c r="ED20" s="1">
        <v>33009</v>
      </c>
      <c r="EE20" s="1">
        <v>37604</v>
      </c>
      <c r="EF20" s="1">
        <v>36169</v>
      </c>
      <c r="EG20" s="1">
        <v>35294</v>
      </c>
      <c r="EH20" s="1">
        <v>38330</v>
      </c>
      <c r="EI20" s="1">
        <v>42885</v>
      </c>
      <c r="EJ20" s="1">
        <v>50449</v>
      </c>
      <c r="EK20" s="1">
        <v>52245</v>
      </c>
      <c r="EL20" s="1">
        <v>58957</v>
      </c>
      <c r="EM20" s="1">
        <v>63645</v>
      </c>
      <c r="EN20" s="1">
        <v>63992</v>
      </c>
      <c r="EO20" s="1">
        <v>69449</v>
      </c>
      <c r="EP20" s="1">
        <v>74766</v>
      </c>
      <c r="EQ20" s="1">
        <v>79432</v>
      </c>
      <c r="ER20" s="1">
        <v>80789</v>
      </c>
      <c r="ES20" s="1">
        <v>86744</v>
      </c>
      <c r="ET20" s="1">
        <v>110673</v>
      </c>
      <c r="EU20" s="1">
        <v>124424</v>
      </c>
    </row>
    <row r="21" spans="1:151" x14ac:dyDescent="0.25">
      <c r="A21" t="s">
        <v>25</v>
      </c>
      <c r="B21" s="1">
        <v>553506</v>
      </c>
      <c r="C21" s="1">
        <v>589026</v>
      </c>
      <c r="D21" s="1">
        <v>615180</v>
      </c>
      <c r="E21" s="1">
        <v>651605</v>
      </c>
      <c r="F21" s="1">
        <v>681206</v>
      </c>
      <c r="G21" s="1">
        <v>712940</v>
      </c>
      <c r="H21" s="1">
        <v>752414</v>
      </c>
      <c r="I21" s="1">
        <v>793640</v>
      </c>
      <c r="J21" s="1">
        <v>842023</v>
      </c>
      <c r="K21" s="1">
        <v>878505</v>
      </c>
      <c r="L21" s="1">
        <v>881692</v>
      </c>
      <c r="M21" s="1">
        <v>926716</v>
      </c>
      <c r="N21" s="1">
        <v>967078</v>
      </c>
      <c r="O21" s="1">
        <v>998055</v>
      </c>
      <c r="P21" s="1">
        <v>1038084</v>
      </c>
      <c r="Q21" s="1">
        <v>1086255</v>
      </c>
      <c r="R21" s="1">
        <v>1122080</v>
      </c>
      <c r="S21" s="1">
        <v>1153666</v>
      </c>
      <c r="T21" s="1">
        <v>1209153</v>
      </c>
      <c r="U21" s="1">
        <v>1260445</v>
      </c>
      <c r="V21" s="1">
        <v>1300815</v>
      </c>
      <c r="W21" s="1">
        <v>1225995</v>
      </c>
      <c r="X21" s="1">
        <v>1327587</v>
      </c>
      <c r="Y21" s="1">
        <v>1473589</v>
      </c>
      <c r="Z21" s="1">
        <v>1553214</v>
      </c>
      <c r="AA21" s="1">
        <v>112217</v>
      </c>
      <c r="AB21" s="1">
        <v>117394</v>
      </c>
      <c r="AC21" s="1">
        <v>120301</v>
      </c>
      <c r="AD21" s="1">
        <v>126108</v>
      </c>
      <c r="AE21" s="1">
        <v>128219</v>
      </c>
      <c r="AF21" s="1">
        <v>134126</v>
      </c>
      <c r="AG21" s="1">
        <v>142877</v>
      </c>
      <c r="AH21" s="1">
        <v>151645</v>
      </c>
      <c r="AI21" s="1">
        <v>158384</v>
      </c>
      <c r="AJ21" s="1">
        <v>161235</v>
      </c>
      <c r="AK21" s="1">
        <v>161361</v>
      </c>
      <c r="AL21" s="1">
        <v>168886</v>
      </c>
      <c r="AM21" s="1">
        <v>175797</v>
      </c>
      <c r="AN21" s="1">
        <v>176490</v>
      </c>
      <c r="AO21" s="1">
        <v>180541</v>
      </c>
      <c r="AP21" s="1">
        <v>188679</v>
      </c>
      <c r="AQ21" s="1">
        <v>194362</v>
      </c>
      <c r="AR21" s="1">
        <v>201472</v>
      </c>
      <c r="AS21" s="1">
        <v>211885</v>
      </c>
      <c r="AT21" s="1">
        <v>220051</v>
      </c>
      <c r="AU21" s="1">
        <v>211671</v>
      </c>
      <c r="AV21" s="1">
        <v>211325</v>
      </c>
      <c r="AW21" s="1">
        <v>232575</v>
      </c>
      <c r="AX21" s="1">
        <v>256258</v>
      </c>
      <c r="AY21" s="1">
        <v>269860</v>
      </c>
      <c r="AZ21" s="1">
        <v>152336</v>
      </c>
      <c r="BA21" s="1">
        <v>159416</v>
      </c>
      <c r="BB21" s="1">
        <v>163776</v>
      </c>
      <c r="BC21" s="1">
        <v>170287</v>
      </c>
      <c r="BD21" s="1">
        <v>175728</v>
      </c>
      <c r="BE21" s="1">
        <v>176109</v>
      </c>
      <c r="BF21" s="1">
        <v>181586</v>
      </c>
      <c r="BG21" s="1">
        <v>188424</v>
      </c>
      <c r="BH21" s="1">
        <v>194533</v>
      </c>
      <c r="BI21" s="1">
        <v>199079</v>
      </c>
      <c r="BJ21" s="1">
        <v>189862</v>
      </c>
      <c r="BK21" s="1">
        <v>193845</v>
      </c>
      <c r="BL21" s="1">
        <v>197960</v>
      </c>
      <c r="BM21" s="1">
        <v>203851</v>
      </c>
      <c r="BN21" s="1">
        <v>209987</v>
      </c>
      <c r="BO21" s="1">
        <v>216219</v>
      </c>
      <c r="BP21" s="1">
        <v>224992</v>
      </c>
      <c r="BQ21" s="1">
        <v>227063</v>
      </c>
      <c r="BR21" s="1">
        <v>238568</v>
      </c>
      <c r="BS21" s="1">
        <v>250592</v>
      </c>
      <c r="BT21" s="1">
        <v>244664</v>
      </c>
      <c r="BU21" s="1">
        <v>240257</v>
      </c>
      <c r="BV21" s="1">
        <v>261122</v>
      </c>
      <c r="BW21" s="1">
        <v>290852</v>
      </c>
      <c r="BX21" s="1">
        <v>306717</v>
      </c>
      <c r="BY21" s="1">
        <v>139940</v>
      </c>
      <c r="BZ21" s="1">
        <v>150635</v>
      </c>
      <c r="CA21" s="1">
        <v>157421</v>
      </c>
      <c r="CB21" s="1">
        <v>169473</v>
      </c>
      <c r="CC21" s="1">
        <v>177310</v>
      </c>
      <c r="CD21" s="1">
        <v>188575</v>
      </c>
      <c r="CE21" s="1">
        <v>198984</v>
      </c>
      <c r="CF21" s="1">
        <v>208995</v>
      </c>
      <c r="CG21" s="1">
        <v>222811</v>
      </c>
      <c r="CH21" s="1">
        <v>232083</v>
      </c>
      <c r="CI21" s="1">
        <v>230600</v>
      </c>
      <c r="CJ21" s="1">
        <v>237674</v>
      </c>
      <c r="CK21" s="1">
        <v>245648</v>
      </c>
      <c r="CL21" s="1">
        <v>245858</v>
      </c>
      <c r="CM21" s="1">
        <v>253243</v>
      </c>
      <c r="CN21" s="1">
        <v>255010</v>
      </c>
      <c r="CO21" s="1">
        <v>255274</v>
      </c>
      <c r="CP21" s="1">
        <v>258685</v>
      </c>
      <c r="CQ21" s="1">
        <v>266438</v>
      </c>
      <c r="CR21" s="1">
        <v>275565</v>
      </c>
      <c r="CS21" s="1">
        <v>278853</v>
      </c>
      <c r="CT21" s="1">
        <v>259887</v>
      </c>
      <c r="CU21" s="1">
        <v>283155</v>
      </c>
      <c r="CV21" s="1">
        <v>316037</v>
      </c>
      <c r="CW21" s="1">
        <v>333373</v>
      </c>
      <c r="CX21" s="1">
        <v>73234</v>
      </c>
      <c r="CY21" s="1">
        <v>79719</v>
      </c>
      <c r="CZ21" s="1">
        <v>87503</v>
      </c>
      <c r="DA21" s="1">
        <v>94784</v>
      </c>
      <c r="DB21" s="1">
        <v>106308</v>
      </c>
      <c r="DC21" s="1">
        <v>114339</v>
      </c>
      <c r="DD21" s="1">
        <v>123451</v>
      </c>
      <c r="DE21" s="1">
        <v>131640</v>
      </c>
      <c r="DF21" s="1">
        <v>143334</v>
      </c>
      <c r="DG21" s="1">
        <v>152625</v>
      </c>
      <c r="DH21" s="1">
        <v>159761</v>
      </c>
      <c r="DI21" s="1">
        <v>169483</v>
      </c>
      <c r="DJ21" s="1">
        <v>178860</v>
      </c>
      <c r="DK21" s="1">
        <v>188514</v>
      </c>
      <c r="DL21" s="1">
        <v>198253</v>
      </c>
      <c r="DM21" s="1">
        <v>215499</v>
      </c>
      <c r="DN21" s="1">
        <v>221458</v>
      </c>
      <c r="DO21" s="1">
        <v>228743</v>
      </c>
      <c r="DP21" s="1">
        <v>239005</v>
      </c>
      <c r="DQ21" s="1">
        <v>250286</v>
      </c>
      <c r="DR21" s="1">
        <v>282398</v>
      </c>
      <c r="DS21" s="1">
        <v>248036</v>
      </c>
      <c r="DT21" s="1">
        <v>265636</v>
      </c>
      <c r="DU21" s="1">
        <v>295544</v>
      </c>
      <c r="DV21" s="1">
        <v>311362</v>
      </c>
      <c r="DW21" s="1">
        <v>75779</v>
      </c>
      <c r="DX21" s="1">
        <v>81862</v>
      </c>
      <c r="DY21" s="1">
        <v>86179</v>
      </c>
      <c r="DZ21" s="1">
        <v>90953</v>
      </c>
      <c r="EA21" s="1">
        <v>93641</v>
      </c>
      <c r="EB21" s="1">
        <v>99791</v>
      </c>
      <c r="EC21" s="1">
        <v>105516</v>
      </c>
      <c r="ED21" s="1">
        <v>112936</v>
      </c>
      <c r="EE21" s="1">
        <v>122961</v>
      </c>
      <c r="EF21" s="1">
        <v>133483</v>
      </c>
      <c r="EG21" s="1">
        <v>140108</v>
      </c>
      <c r="EH21" s="1">
        <v>156828</v>
      </c>
      <c r="EI21" s="1">
        <v>168813</v>
      </c>
      <c r="EJ21" s="1">
        <v>183342</v>
      </c>
      <c r="EK21" s="1">
        <v>196060</v>
      </c>
      <c r="EL21" s="1">
        <v>210848</v>
      </c>
      <c r="EM21" s="1">
        <v>225994</v>
      </c>
      <c r="EN21" s="1">
        <v>237703</v>
      </c>
      <c r="EO21" s="1">
        <v>253257</v>
      </c>
      <c r="EP21" s="1">
        <v>263951</v>
      </c>
      <c r="EQ21" s="1">
        <v>283229</v>
      </c>
      <c r="ER21" s="1">
        <v>266491</v>
      </c>
      <c r="ES21" s="1">
        <v>285095</v>
      </c>
      <c r="ET21" s="1">
        <v>314900</v>
      </c>
      <c r="EU21" s="1">
        <v>331898</v>
      </c>
    </row>
    <row r="22" spans="1:151" x14ac:dyDescent="0.25">
      <c r="A22" t="s">
        <v>26</v>
      </c>
      <c r="B22" s="1">
        <v>53875</v>
      </c>
      <c r="C22" s="1">
        <v>56454</v>
      </c>
      <c r="D22" s="1">
        <v>59698</v>
      </c>
      <c r="E22" s="1">
        <v>62227</v>
      </c>
      <c r="F22" s="1">
        <v>64646</v>
      </c>
      <c r="G22" s="1">
        <v>67044</v>
      </c>
      <c r="H22" s="1">
        <v>69305</v>
      </c>
      <c r="I22" s="1">
        <v>72227</v>
      </c>
      <c r="J22" s="1">
        <v>75314</v>
      </c>
      <c r="K22" s="1">
        <v>79394</v>
      </c>
      <c r="L22" s="1">
        <v>84166</v>
      </c>
      <c r="M22" s="1">
        <v>86223</v>
      </c>
      <c r="N22" s="1">
        <v>89033</v>
      </c>
      <c r="O22" s="1">
        <v>91619</v>
      </c>
      <c r="P22" s="1">
        <v>94538</v>
      </c>
      <c r="Q22" s="1">
        <v>98670</v>
      </c>
      <c r="R22" s="1">
        <v>102658</v>
      </c>
      <c r="S22" s="1">
        <v>105137</v>
      </c>
      <c r="T22" s="1">
        <v>109628</v>
      </c>
      <c r="U22" s="1">
        <v>111574</v>
      </c>
      <c r="V22" s="1">
        <v>115896</v>
      </c>
      <c r="W22" s="1">
        <v>127336</v>
      </c>
      <c r="X22" s="1">
        <v>129048</v>
      </c>
      <c r="Y22" s="1">
        <v>137650</v>
      </c>
      <c r="Z22" s="1">
        <v>147899</v>
      </c>
      <c r="AA22" s="1">
        <v>10547</v>
      </c>
      <c r="AB22" s="1">
        <v>10610</v>
      </c>
      <c r="AC22" s="1">
        <v>11159</v>
      </c>
      <c r="AD22" s="1">
        <v>11637</v>
      </c>
      <c r="AE22" s="1">
        <v>11635</v>
      </c>
      <c r="AF22" s="1">
        <v>12238</v>
      </c>
      <c r="AG22" s="1">
        <v>12512</v>
      </c>
      <c r="AH22" s="1">
        <v>13222</v>
      </c>
      <c r="AI22" s="1">
        <v>13759</v>
      </c>
      <c r="AJ22" s="1">
        <v>14704</v>
      </c>
      <c r="AK22" s="1">
        <v>15486</v>
      </c>
      <c r="AL22" s="1">
        <v>15870</v>
      </c>
      <c r="AM22" s="1">
        <v>16251</v>
      </c>
      <c r="AN22" s="1">
        <v>16472</v>
      </c>
      <c r="AO22" s="1">
        <v>16508</v>
      </c>
      <c r="AP22" s="1">
        <v>17188</v>
      </c>
      <c r="AQ22" s="1">
        <v>17634</v>
      </c>
      <c r="AR22" s="1">
        <v>18323</v>
      </c>
      <c r="AS22" s="1">
        <v>18752</v>
      </c>
      <c r="AT22" s="1">
        <v>18820</v>
      </c>
      <c r="AU22" s="1">
        <v>17038</v>
      </c>
      <c r="AV22" s="1">
        <v>21197</v>
      </c>
      <c r="AW22" s="1">
        <v>21488</v>
      </c>
      <c r="AX22" s="1">
        <v>22924</v>
      </c>
      <c r="AY22" s="1">
        <v>24626</v>
      </c>
      <c r="AZ22" s="1">
        <v>15494</v>
      </c>
      <c r="BA22" s="1">
        <v>16207</v>
      </c>
      <c r="BB22" s="1">
        <v>16950</v>
      </c>
      <c r="BC22" s="1">
        <v>17247</v>
      </c>
      <c r="BD22" s="1">
        <v>17586</v>
      </c>
      <c r="BE22" s="1">
        <v>17322</v>
      </c>
      <c r="BF22" s="1">
        <v>17602</v>
      </c>
      <c r="BG22" s="1">
        <v>17873</v>
      </c>
      <c r="BH22" s="1">
        <v>17956</v>
      </c>
      <c r="BI22" s="1">
        <v>18610</v>
      </c>
      <c r="BJ22" s="1">
        <v>18976</v>
      </c>
      <c r="BK22" s="1">
        <v>19012</v>
      </c>
      <c r="BL22" s="1">
        <v>19241</v>
      </c>
      <c r="BM22" s="1">
        <v>19232</v>
      </c>
      <c r="BN22" s="1">
        <v>20060</v>
      </c>
      <c r="BO22" s="1">
        <v>21030</v>
      </c>
      <c r="BP22" s="1">
        <v>22173</v>
      </c>
      <c r="BQ22" s="1">
        <v>22138</v>
      </c>
      <c r="BR22" s="1">
        <v>22990</v>
      </c>
      <c r="BS22" s="1">
        <v>23092</v>
      </c>
      <c r="BT22" s="1">
        <v>23143</v>
      </c>
      <c r="BU22" s="1">
        <v>25879</v>
      </c>
      <c r="BV22" s="1">
        <v>26226</v>
      </c>
      <c r="BW22" s="1">
        <v>27982</v>
      </c>
      <c r="BX22" s="1">
        <v>30062</v>
      </c>
      <c r="BY22" s="1">
        <v>13114</v>
      </c>
      <c r="BZ22" s="1">
        <v>14181</v>
      </c>
      <c r="CA22" s="1">
        <v>14792</v>
      </c>
      <c r="CB22" s="1">
        <v>15626</v>
      </c>
      <c r="CC22" s="1">
        <v>16200</v>
      </c>
      <c r="CD22" s="1">
        <v>17443</v>
      </c>
      <c r="CE22" s="1">
        <v>18053</v>
      </c>
      <c r="CF22" s="1">
        <v>18827</v>
      </c>
      <c r="CG22" s="1">
        <v>19588</v>
      </c>
      <c r="CH22" s="1">
        <v>20371</v>
      </c>
      <c r="CI22" s="1">
        <v>21455</v>
      </c>
      <c r="CJ22" s="1">
        <v>21337</v>
      </c>
      <c r="CK22" s="1">
        <v>22138</v>
      </c>
      <c r="CL22" s="1">
        <v>22411</v>
      </c>
      <c r="CM22" s="1">
        <v>22850</v>
      </c>
      <c r="CN22" s="1">
        <v>22569</v>
      </c>
      <c r="CO22" s="1">
        <v>23240</v>
      </c>
      <c r="CP22" s="1">
        <v>23956</v>
      </c>
      <c r="CQ22" s="1">
        <v>24069</v>
      </c>
      <c r="CR22" s="1">
        <v>24273</v>
      </c>
      <c r="CS22" s="1">
        <v>25094</v>
      </c>
      <c r="CT22" s="1">
        <v>27477</v>
      </c>
      <c r="CU22" s="1">
        <v>27845</v>
      </c>
      <c r="CV22" s="1">
        <v>29700</v>
      </c>
      <c r="CW22" s="1">
        <v>31916</v>
      </c>
      <c r="CX22" s="1">
        <v>6496</v>
      </c>
      <c r="CY22" s="1">
        <v>6807</v>
      </c>
      <c r="CZ22" s="1">
        <v>7735</v>
      </c>
      <c r="DA22" s="1">
        <v>8158</v>
      </c>
      <c r="DB22" s="1">
        <v>9286</v>
      </c>
      <c r="DC22" s="1">
        <v>9778</v>
      </c>
      <c r="DD22" s="1">
        <v>10514</v>
      </c>
      <c r="DE22" s="1">
        <v>10881</v>
      </c>
      <c r="DF22" s="1">
        <v>12118</v>
      </c>
      <c r="DG22" s="1">
        <v>13056</v>
      </c>
      <c r="DH22" s="1">
        <v>14026</v>
      </c>
      <c r="DI22" s="1">
        <v>15015</v>
      </c>
      <c r="DJ22" s="1">
        <v>15422</v>
      </c>
      <c r="DK22" s="1">
        <v>16707</v>
      </c>
      <c r="DL22" s="1">
        <v>17056</v>
      </c>
      <c r="DM22" s="1">
        <v>18086</v>
      </c>
      <c r="DN22" s="1">
        <v>18811</v>
      </c>
      <c r="DO22" s="1">
        <v>19241</v>
      </c>
      <c r="DP22" s="1">
        <v>20605</v>
      </c>
      <c r="DQ22" s="1">
        <v>21241</v>
      </c>
      <c r="DR22" s="1">
        <v>24718</v>
      </c>
      <c r="DS22" s="1">
        <v>24412</v>
      </c>
      <c r="DT22" s="1">
        <v>24740</v>
      </c>
      <c r="DU22" s="1">
        <v>26392</v>
      </c>
      <c r="DV22" s="1">
        <v>28355</v>
      </c>
      <c r="DW22" s="1">
        <v>8224</v>
      </c>
      <c r="DX22" s="1">
        <v>8649</v>
      </c>
      <c r="DY22" s="1">
        <v>9062</v>
      </c>
      <c r="DZ22" s="1">
        <v>9559</v>
      </c>
      <c r="EA22" s="1">
        <v>9939</v>
      </c>
      <c r="EB22" s="1">
        <v>10263</v>
      </c>
      <c r="EC22" s="1">
        <v>10624</v>
      </c>
      <c r="ED22" s="1">
        <v>11424</v>
      </c>
      <c r="EE22" s="1">
        <v>11893</v>
      </c>
      <c r="EF22" s="1">
        <v>12653</v>
      </c>
      <c r="EG22" s="1">
        <v>14223</v>
      </c>
      <c r="EH22" s="1">
        <v>14989</v>
      </c>
      <c r="EI22" s="1">
        <v>15981</v>
      </c>
      <c r="EJ22" s="1">
        <v>16797</v>
      </c>
      <c r="EK22" s="1">
        <v>18064</v>
      </c>
      <c r="EL22" s="1">
        <v>19797</v>
      </c>
      <c r="EM22" s="1">
        <v>20800</v>
      </c>
      <c r="EN22" s="1">
        <v>21479</v>
      </c>
      <c r="EO22" s="1">
        <v>23212</v>
      </c>
      <c r="EP22" s="1">
        <v>24148</v>
      </c>
      <c r="EQ22" s="1">
        <v>25903</v>
      </c>
      <c r="ER22" s="1">
        <v>28371</v>
      </c>
      <c r="ES22" s="1">
        <v>28749</v>
      </c>
      <c r="ET22" s="1">
        <v>30654</v>
      </c>
      <c r="EU22" s="1">
        <v>32941</v>
      </c>
    </row>
    <row r="23" spans="1:151" x14ac:dyDescent="0.25">
      <c r="A23" t="s">
        <v>27</v>
      </c>
      <c r="B23" s="1">
        <v>24905</v>
      </c>
      <c r="C23" s="1">
        <v>25900</v>
      </c>
      <c r="D23" s="1">
        <v>27713</v>
      </c>
      <c r="E23" s="1">
        <v>31002</v>
      </c>
      <c r="F23" s="1">
        <v>33087</v>
      </c>
      <c r="G23" s="1">
        <v>34003</v>
      </c>
      <c r="H23" s="1">
        <v>34130</v>
      </c>
      <c r="I23" s="1">
        <v>34294</v>
      </c>
      <c r="J23" s="1">
        <v>34907</v>
      </c>
      <c r="K23" s="1">
        <v>35605</v>
      </c>
      <c r="L23" s="1">
        <v>36033</v>
      </c>
      <c r="M23" s="1">
        <v>37477</v>
      </c>
      <c r="N23" s="1">
        <v>38506</v>
      </c>
      <c r="O23" s="1">
        <v>39828</v>
      </c>
      <c r="P23" s="1">
        <v>40679</v>
      </c>
      <c r="Q23" s="1">
        <v>42050</v>
      </c>
      <c r="R23" s="1">
        <v>43354</v>
      </c>
      <c r="S23" s="1">
        <v>44523</v>
      </c>
      <c r="T23" s="1">
        <v>45376</v>
      </c>
      <c r="U23" s="1">
        <v>48672</v>
      </c>
      <c r="V23" s="1">
        <v>48584</v>
      </c>
      <c r="W23" s="1">
        <v>51182</v>
      </c>
      <c r="X23" s="1">
        <v>51273</v>
      </c>
      <c r="Y23" s="1">
        <v>51275</v>
      </c>
      <c r="Z23" s="1">
        <v>50575</v>
      </c>
      <c r="AA23" s="1">
        <v>5370</v>
      </c>
      <c r="AB23" s="1">
        <v>5443</v>
      </c>
      <c r="AC23" s="1">
        <v>5552</v>
      </c>
      <c r="AD23" s="1">
        <v>6084</v>
      </c>
      <c r="AE23" s="1">
        <v>6383</v>
      </c>
      <c r="AF23" s="1">
        <v>6834</v>
      </c>
      <c r="AG23" s="1">
        <v>7117</v>
      </c>
      <c r="AH23" s="1">
        <v>6902</v>
      </c>
      <c r="AI23" s="1">
        <v>7068</v>
      </c>
      <c r="AJ23" s="1">
        <v>6938</v>
      </c>
      <c r="AK23" s="1">
        <v>7043</v>
      </c>
      <c r="AL23" s="1">
        <v>7269</v>
      </c>
      <c r="AM23" s="1">
        <v>7228</v>
      </c>
      <c r="AN23" s="1">
        <v>7124</v>
      </c>
      <c r="AO23" s="1">
        <v>7057</v>
      </c>
      <c r="AP23" s="1">
        <v>7208</v>
      </c>
      <c r="AQ23" s="1">
        <v>7550</v>
      </c>
      <c r="AR23" s="1">
        <v>7557</v>
      </c>
      <c r="AS23" s="1">
        <v>8007</v>
      </c>
      <c r="AT23" s="1">
        <v>8435</v>
      </c>
      <c r="AU23" s="1">
        <v>6594</v>
      </c>
      <c r="AV23" s="1">
        <v>9256</v>
      </c>
      <c r="AW23" s="1">
        <v>9276</v>
      </c>
      <c r="AX23" s="1">
        <v>9266</v>
      </c>
      <c r="AY23" s="1">
        <v>9139</v>
      </c>
      <c r="AZ23" s="1">
        <v>7002</v>
      </c>
      <c r="BA23" s="1">
        <v>7241</v>
      </c>
      <c r="BB23" s="1">
        <v>7651</v>
      </c>
      <c r="BC23" s="1">
        <v>8178</v>
      </c>
      <c r="BD23" s="1">
        <v>8622</v>
      </c>
      <c r="BE23" s="1">
        <v>8506</v>
      </c>
      <c r="BF23" s="1">
        <v>7849</v>
      </c>
      <c r="BG23" s="1">
        <v>7890</v>
      </c>
      <c r="BH23" s="1">
        <v>7729</v>
      </c>
      <c r="BI23" s="1">
        <v>7503</v>
      </c>
      <c r="BJ23" s="1">
        <v>7136</v>
      </c>
      <c r="BK23" s="1">
        <v>7458</v>
      </c>
      <c r="BL23" s="1">
        <v>7202</v>
      </c>
      <c r="BM23" s="1">
        <v>7392</v>
      </c>
      <c r="BN23" s="1">
        <v>7087</v>
      </c>
      <c r="BO23" s="1">
        <v>7541</v>
      </c>
      <c r="BP23" s="1">
        <v>8025</v>
      </c>
      <c r="BQ23" s="1">
        <v>8485</v>
      </c>
      <c r="BR23" s="1">
        <v>8541</v>
      </c>
      <c r="BS23" s="1">
        <v>9447</v>
      </c>
      <c r="BT23" s="1">
        <v>8739</v>
      </c>
      <c r="BU23" s="1">
        <v>9682</v>
      </c>
      <c r="BV23" s="1">
        <v>9702</v>
      </c>
      <c r="BW23" s="1">
        <v>9707</v>
      </c>
      <c r="BX23" s="1">
        <v>9577</v>
      </c>
      <c r="BY23" s="1">
        <v>6313</v>
      </c>
      <c r="BZ23" s="1">
        <v>6511</v>
      </c>
      <c r="CA23" s="1">
        <v>7009</v>
      </c>
      <c r="CB23" s="1">
        <v>8202</v>
      </c>
      <c r="CC23" s="1">
        <v>8607</v>
      </c>
      <c r="CD23" s="1">
        <v>9012</v>
      </c>
      <c r="CE23" s="1">
        <v>9108</v>
      </c>
      <c r="CF23" s="1">
        <v>9147</v>
      </c>
      <c r="CG23" s="1">
        <v>9452</v>
      </c>
      <c r="CH23" s="1">
        <v>9999</v>
      </c>
      <c r="CI23" s="1">
        <v>10046</v>
      </c>
      <c r="CJ23" s="1">
        <v>10475</v>
      </c>
      <c r="CK23" s="1">
        <v>10598</v>
      </c>
      <c r="CL23" s="1">
        <v>10390</v>
      </c>
      <c r="CM23" s="1">
        <v>10114</v>
      </c>
      <c r="CN23" s="1">
        <v>9871</v>
      </c>
      <c r="CO23" s="1">
        <v>10315</v>
      </c>
      <c r="CP23" s="1">
        <v>10432</v>
      </c>
      <c r="CQ23" s="1">
        <v>10166</v>
      </c>
      <c r="CR23" s="1">
        <v>10496</v>
      </c>
      <c r="CS23" s="1">
        <v>11621</v>
      </c>
      <c r="CT23" s="1">
        <v>11130</v>
      </c>
      <c r="CU23" s="1">
        <v>11158</v>
      </c>
      <c r="CV23" s="1">
        <v>11181</v>
      </c>
      <c r="CW23" s="1">
        <v>11013</v>
      </c>
      <c r="CX23" s="1">
        <v>3895</v>
      </c>
      <c r="CY23" s="1">
        <v>4078</v>
      </c>
      <c r="CZ23" s="1">
        <v>4223</v>
      </c>
      <c r="DA23" s="1">
        <v>4886</v>
      </c>
      <c r="DB23" s="1">
        <v>5428</v>
      </c>
      <c r="DC23" s="1">
        <v>5431</v>
      </c>
      <c r="DD23" s="1">
        <v>5689</v>
      </c>
      <c r="DE23" s="1">
        <v>6011</v>
      </c>
      <c r="DF23" s="1">
        <v>6394</v>
      </c>
      <c r="DG23" s="1">
        <v>6860</v>
      </c>
      <c r="DH23" s="1">
        <v>7346</v>
      </c>
      <c r="DI23" s="1">
        <v>7580</v>
      </c>
      <c r="DJ23" s="1">
        <v>8247</v>
      </c>
      <c r="DK23" s="1">
        <v>8877</v>
      </c>
      <c r="DL23" s="1">
        <v>9132</v>
      </c>
      <c r="DM23" s="1">
        <v>9894</v>
      </c>
      <c r="DN23" s="1">
        <v>9711</v>
      </c>
      <c r="DO23" s="1">
        <v>10111</v>
      </c>
      <c r="DP23" s="1">
        <v>10420</v>
      </c>
      <c r="DQ23" s="1">
        <v>11028</v>
      </c>
      <c r="DR23" s="1">
        <v>12755</v>
      </c>
      <c r="DS23" s="1">
        <v>11214</v>
      </c>
      <c r="DT23" s="1">
        <v>11229</v>
      </c>
      <c r="DU23" s="1">
        <v>11239</v>
      </c>
      <c r="DV23" s="1">
        <v>11080</v>
      </c>
      <c r="DW23" s="1">
        <v>2325</v>
      </c>
      <c r="DX23" s="1">
        <v>2627</v>
      </c>
      <c r="DY23" s="1">
        <v>3278</v>
      </c>
      <c r="DZ23" s="1">
        <v>3652</v>
      </c>
      <c r="EA23" s="1">
        <v>4047</v>
      </c>
      <c r="EB23" s="1">
        <v>4220</v>
      </c>
      <c r="EC23" s="1">
        <v>4367</v>
      </c>
      <c r="ED23" s="1">
        <v>4344</v>
      </c>
      <c r="EE23" s="1">
        <v>4264</v>
      </c>
      <c r="EF23" s="1">
        <v>4305</v>
      </c>
      <c r="EG23" s="1">
        <v>4462</v>
      </c>
      <c r="EH23" s="1">
        <v>4695</v>
      </c>
      <c r="EI23" s="1">
        <v>5231</v>
      </c>
      <c r="EJ23" s="1">
        <v>6045</v>
      </c>
      <c r="EK23" s="1">
        <v>7289</v>
      </c>
      <c r="EL23" s="1">
        <v>7536</v>
      </c>
      <c r="EM23" s="1">
        <v>7753</v>
      </c>
      <c r="EN23" s="1">
        <v>7938</v>
      </c>
      <c r="EO23" s="1">
        <v>8242</v>
      </c>
      <c r="EP23" s="1">
        <v>9266</v>
      </c>
      <c r="EQ23" s="1">
        <v>8875</v>
      </c>
      <c r="ER23" s="1">
        <v>9899</v>
      </c>
      <c r="ES23" s="1">
        <v>9908</v>
      </c>
      <c r="ET23" s="1">
        <v>9882</v>
      </c>
      <c r="EU23" s="1">
        <v>9769</v>
      </c>
    </row>
    <row r="24" spans="1:151" x14ac:dyDescent="0.25">
      <c r="A24" t="s">
        <v>28</v>
      </c>
      <c r="B24" s="1">
        <v>27682</v>
      </c>
      <c r="C24" s="1">
        <v>29055</v>
      </c>
      <c r="D24" s="1">
        <v>30229</v>
      </c>
      <c r="E24" s="1">
        <v>31099</v>
      </c>
      <c r="F24" s="1">
        <v>31763</v>
      </c>
      <c r="G24" s="1">
        <v>32559</v>
      </c>
      <c r="H24" s="1">
        <v>33712</v>
      </c>
      <c r="I24" s="1">
        <v>35512</v>
      </c>
      <c r="J24" s="1">
        <v>37171</v>
      </c>
      <c r="K24" s="1">
        <v>37507</v>
      </c>
      <c r="L24" s="1">
        <v>36964</v>
      </c>
      <c r="M24" s="1">
        <v>38677</v>
      </c>
      <c r="N24" s="1">
        <v>40029</v>
      </c>
      <c r="O24" s="1">
        <v>41119</v>
      </c>
      <c r="P24" s="1">
        <v>42358</v>
      </c>
      <c r="Q24" s="1">
        <v>44626</v>
      </c>
      <c r="R24" s="1">
        <v>47299</v>
      </c>
      <c r="S24" s="1">
        <v>47876</v>
      </c>
      <c r="T24" s="1">
        <v>49289</v>
      </c>
      <c r="U24" s="1">
        <v>61997</v>
      </c>
      <c r="V24" s="1">
        <v>63580</v>
      </c>
      <c r="W24" s="1">
        <v>51152</v>
      </c>
      <c r="X24" s="1">
        <v>59105</v>
      </c>
      <c r="Y24" s="1">
        <v>71209</v>
      </c>
      <c r="Z24" s="1">
        <v>73807</v>
      </c>
      <c r="AA24" s="1">
        <v>6212</v>
      </c>
      <c r="AB24" s="1">
        <v>6340</v>
      </c>
      <c r="AC24" s="1">
        <v>6471</v>
      </c>
      <c r="AD24" s="1">
        <v>6672</v>
      </c>
      <c r="AE24" s="1">
        <v>6658</v>
      </c>
      <c r="AF24" s="1">
        <v>6509</v>
      </c>
      <c r="AG24" s="1">
        <v>6810</v>
      </c>
      <c r="AH24" s="1">
        <v>7279</v>
      </c>
      <c r="AI24" s="1">
        <v>7579</v>
      </c>
      <c r="AJ24" s="1">
        <v>7493</v>
      </c>
      <c r="AK24" s="1">
        <v>7287</v>
      </c>
      <c r="AL24" s="1">
        <v>7575</v>
      </c>
      <c r="AM24" s="1">
        <v>7836</v>
      </c>
      <c r="AN24" s="1">
        <v>8110</v>
      </c>
      <c r="AO24" s="1">
        <v>8160</v>
      </c>
      <c r="AP24" s="1">
        <v>8719</v>
      </c>
      <c r="AQ24" s="1">
        <v>9160</v>
      </c>
      <c r="AR24" s="1">
        <v>9459</v>
      </c>
      <c r="AS24" s="1">
        <v>9899</v>
      </c>
      <c r="AT24" s="1">
        <v>12463</v>
      </c>
      <c r="AU24" s="1">
        <v>12324</v>
      </c>
      <c r="AV24" s="1">
        <v>10719</v>
      </c>
      <c r="AW24" s="1">
        <v>12400</v>
      </c>
      <c r="AX24" s="1">
        <v>14941</v>
      </c>
      <c r="AY24" s="1">
        <v>15491</v>
      </c>
      <c r="AZ24" s="1">
        <v>8095</v>
      </c>
      <c r="BA24" s="1">
        <v>8197</v>
      </c>
      <c r="BB24" s="1">
        <v>8398</v>
      </c>
      <c r="BC24" s="1">
        <v>8525</v>
      </c>
      <c r="BD24" s="1">
        <v>8619</v>
      </c>
      <c r="BE24" s="1">
        <v>8501</v>
      </c>
      <c r="BF24" s="1">
        <v>8778</v>
      </c>
      <c r="BG24" s="1">
        <v>9035</v>
      </c>
      <c r="BH24" s="1">
        <v>9198</v>
      </c>
      <c r="BI24" s="1">
        <v>9295</v>
      </c>
      <c r="BJ24" s="1">
        <v>8859</v>
      </c>
      <c r="BK24" s="1">
        <v>9202</v>
      </c>
      <c r="BL24" s="1">
        <v>9519</v>
      </c>
      <c r="BM24" s="1">
        <v>9810</v>
      </c>
      <c r="BN24" s="1">
        <v>9801</v>
      </c>
      <c r="BO24" s="1">
        <v>10384</v>
      </c>
      <c r="BP24" s="1">
        <v>11090</v>
      </c>
      <c r="BQ24" s="1">
        <v>11329</v>
      </c>
      <c r="BR24" s="1">
        <v>11882</v>
      </c>
      <c r="BS24" s="1">
        <v>14984</v>
      </c>
      <c r="BT24" s="1">
        <v>14690</v>
      </c>
      <c r="BU24" s="1">
        <v>12087</v>
      </c>
      <c r="BV24" s="1">
        <v>13968</v>
      </c>
      <c r="BW24" s="1">
        <v>16829</v>
      </c>
      <c r="BX24" s="1">
        <v>17444</v>
      </c>
      <c r="BY24" s="1">
        <v>7438</v>
      </c>
      <c r="BZ24" s="1">
        <v>8025</v>
      </c>
      <c r="CA24" s="1">
        <v>8491</v>
      </c>
      <c r="CB24" s="1">
        <v>8842</v>
      </c>
      <c r="CC24" s="1">
        <v>9029</v>
      </c>
      <c r="CD24" s="1">
        <v>9424</v>
      </c>
      <c r="CE24" s="1">
        <v>9692</v>
      </c>
      <c r="CF24" s="1">
        <v>10001</v>
      </c>
      <c r="CG24" s="1">
        <v>10533</v>
      </c>
      <c r="CH24" s="1">
        <v>10594</v>
      </c>
      <c r="CI24" s="1">
        <v>10388</v>
      </c>
      <c r="CJ24" s="1">
        <v>10764</v>
      </c>
      <c r="CK24" s="1">
        <v>10828</v>
      </c>
      <c r="CL24" s="1">
        <v>10862</v>
      </c>
      <c r="CM24" s="1">
        <v>11248</v>
      </c>
      <c r="CN24" s="1">
        <v>11155</v>
      </c>
      <c r="CO24" s="1">
        <v>11688</v>
      </c>
      <c r="CP24" s="1">
        <v>11889</v>
      </c>
      <c r="CQ24" s="1">
        <v>12158</v>
      </c>
      <c r="CR24" s="1">
        <v>15324</v>
      </c>
      <c r="CS24" s="1">
        <v>15061</v>
      </c>
      <c r="CT24" s="1">
        <v>11630</v>
      </c>
      <c r="CU24" s="1">
        <v>13418</v>
      </c>
      <c r="CV24" s="1">
        <v>16163</v>
      </c>
      <c r="CW24" s="1">
        <v>16741</v>
      </c>
      <c r="CX24" s="1">
        <v>3109</v>
      </c>
      <c r="CY24" s="1">
        <v>3373</v>
      </c>
      <c r="CZ24" s="1">
        <v>3603</v>
      </c>
      <c r="DA24" s="1">
        <v>3801</v>
      </c>
      <c r="DB24" s="1">
        <v>4219</v>
      </c>
      <c r="DC24" s="1">
        <v>4813</v>
      </c>
      <c r="DD24" s="1">
        <v>5051</v>
      </c>
      <c r="DE24" s="1">
        <v>5475</v>
      </c>
      <c r="DF24" s="1">
        <v>5825</v>
      </c>
      <c r="DG24" s="1">
        <v>5943</v>
      </c>
      <c r="DH24" s="1">
        <v>6061</v>
      </c>
      <c r="DI24" s="1">
        <v>6404</v>
      </c>
      <c r="DJ24" s="1">
        <v>6854</v>
      </c>
      <c r="DK24" s="1">
        <v>7077</v>
      </c>
      <c r="DL24" s="1">
        <v>7363</v>
      </c>
      <c r="DM24" s="1">
        <v>8060</v>
      </c>
      <c r="DN24" s="1">
        <v>8417</v>
      </c>
      <c r="DO24" s="1">
        <v>8300</v>
      </c>
      <c r="DP24" s="1">
        <v>8584</v>
      </c>
      <c r="DQ24" s="1">
        <v>10840</v>
      </c>
      <c r="DR24" s="1">
        <v>12393</v>
      </c>
      <c r="DS24" s="1">
        <v>9413</v>
      </c>
      <c r="DT24" s="1">
        <v>10888</v>
      </c>
      <c r="DU24" s="1">
        <v>13115</v>
      </c>
      <c r="DV24" s="1">
        <v>13593</v>
      </c>
      <c r="DW24" s="1">
        <v>2828</v>
      </c>
      <c r="DX24" s="1">
        <v>3120</v>
      </c>
      <c r="DY24" s="1">
        <v>3266</v>
      </c>
      <c r="DZ24" s="1">
        <v>3259</v>
      </c>
      <c r="EA24" s="1">
        <v>3238</v>
      </c>
      <c r="EB24" s="1">
        <v>3312</v>
      </c>
      <c r="EC24" s="1">
        <v>3381</v>
      </c>
      <c r="ED24" s="1">
        <v>3722</v>
      </c>
      <c r="EE24" s="1">
        <v>4036</v>
      </c>
      <c r="EF24" s="1">
        <v>4182</v>
      </c>
      <c r="EG24" s="1">
        <v>4369</v>
      </c>
      <c r="EH24" s="1">
        <v>4732</v>
      </c>
      <c r="EI24" s="1">
        <v>4992</v>
      </c>
      <c r="EJ24" s="1">
        <v>5260</v>
      </c>
      <c r="EK24" s="1">
        <v>5786</v>
      </c>
      <c r="EL24" s="1">
        <v>6308</v>
      </c>
      <c r="EM24" s="1">
        <v>6944</v>
      </c>
      <c r="EN24" s="1">
        <v>6899</v>
      </c>
      <c r="EO24" s="1">
        <v>6766</v>
      </c>
      <c r="EP24" s="1">
        <v>8386</v>
      </c>
      <c r="EQ24" s="1">
        <v>9112</v>
      </c>
      <c r="ER24" s="1">
        <v>7303</v>
      </c>
      <c r="ES24" s="1">
        <v>8431</v>
      </c>
      <c r="ET24" s="1">
        <v>10161</v>
      </c>
      <c r="EU24" s="1">
        <v>10536</v>
      </c>
    </row>
    <row r="25" spans="1:151" x14ac:dyDescent="0.25">
      <c r="A25" t="s">
        <v>29</v>
      </c>
      <c r="B25" s="1">
        <v>127461</v>
      </c>
      <c r="C25" s="1">
        <v>133925</v>
      </c>
      <c r="D25" s="1">
        <v>139341</v>
      </c>
      <c r="E25" s="1">
        <v>145400</v>
      </c>
      <c r="F25" s="1">
        <v>153520</v>
      </c>
      <c r="G25" s="1">
        <v>160413</v>
      </c>
      <c r="H25" s="1">
        <v>168562</v>
      </c>
      <c r="I25" s="1">
        <v>177060</v>
      </c>
      <c r="J25" s="1">
        <v>188322</v>
      </c>
      <c r="K25" s="1">
        <v>200145</v>
      </c>
      <c r="L25" s="1">
        <v>205828</v>
      </c>
      <c r="M25" s="1">
        <v>214534</v>
      </c>
      <c r="N25" s="1">
        <v>224318</v>
      </c>
      <c r="O25" s="1">
        <v>232923</v>
      </c>
      <c r="P25" s="1">
        <v>244457</v>
      </c>
      <c r="Q25" s="1">
        <v>257191</v>
      </c>
      <c r="R25" s="1">
        <v>266997</v>
      </c>
      <c r="S25" s="1">
        <v>275833</v>
      </c>
      <c r="T25" s="1">
        <v>288655</v>
      </c>
      <c r="U25" s="1">
        <v>275918</v>
      </c>
      <c r="V25" s="1">
        <v>290097</v>
      </c>
      <c r="W25" s="1">
        <v>302209</v>
      </c>
      <c r="X25" s="1">
        <v>314641</v>
      </c>
      <c r="Y25" s="1">
        <v>340198</v>
      </c>
      <c r="Z25" s="1">
        <v>366271</v>
      </c>
      <c r="AA25" s="1">
        <v>23923</v>
      </c>
      <c r="AB25" s="1">
        <v>24352</v>
      </c>
      <c r="AC25" s="1">
        <v>24500</v>
      </c>
      <c r="AD25" s="1">
        <v>25659</v>
      </c>
      <c r="AE25" s="1">
        <v>26537</v>
      </c>
      <c r="AF25" s="1">
        <v>28163</v>
      </c>
      <c r="AG25" s="1">
        <v>31039</v>
      </c>
      <c r="AH25" s="1">
        <v>33236</v>
      </c>
      <c r="AI25" s="1">
        <v>34243</v>
      </c>
      <c r="AJ25" s="1">
        <v>35098</v>
      </c>
      <c r="AK25" s="1">
        <v>36464</v>
      </c>
      <c r="AL25" s="1">
        <v>38581</v>
      </c>
      <c r="AM25" s="1">
        <v>40987</v>
      </c>
      <c r="AN25" s="1">
        <v>40658</v>
      </c>
      <c r="AO25" s="1">
        <v>41538</v>
      </c>
      <c r="AP25" s="1">
        <v>43847</v>
      </c>
      <c r="AQ25" s="1">
        <v>45850</v>
      </c>
      <c r="AR25" s="1">
        <v>47622</v>
      </c>
      <c r="AS25" s="1">
        <v>49454</v>
      </c>
      <c r="AT25" s="1">
        <v>47736</v>
      </c>
      <c r="AU25" s="1">
        <v>45848</v>
      </c>
      <c r="AV25" s="1">
        <v>51692</v>
      </c>
      <c r="AW25" s="1">
        <v>58331</v>
      </c>
      <c r="AX25" s="1">
        <v>61247</v>
      </c>
      <c r="AY25" s="1">
        <v>65927</v>
      </c>
      <c r="AZ25" s="1">
        <v>32648</v>
      </c>
      <c r="BA25" s="1">
        <v>33753</v>
      </c>
      <c r="BB25" s="1">
        <v>34871</v>
      </c>
      <c r="BC25" s="1">
        <v>35811</v>
      </c>
      <c r="BD25" s="1">
        <v>37785</v>
      </c>
      <c r="BE25" s="1">
        <v>37978</v>
      </c>
      <c r="BF25" s="1">
        <v>38809</v>
      </c>
      <c r="BG25" s="1">
        <v>39615</v>
      </c>
      <c r="BH25" s="1">
        <v>41890</v>
      </c>
      <c r="BI25" s="1">
        <v>44391</v>
      </c>
      <c r="BJ25" s="1">
        <v>43415</v>
      </c>
      <c r="BK25" s="1">
        <v>44067</v>
      </c>
      <c r="BL25" s="1">
        <v>44342</v>
      </c>
      <c r="BM25" s="1">
        <v>45072</v>
      </c>
      <c r="BN25" s="1">
        <v>47440</v>
      </c>
      <c r="BO25" s="1">
        <v>48439</v>
      </c>
      <c r="BP25" s="1">
        <v>50939</v>
      </c>
      <c r="BQ25" s="1">
        <v>50533</v>
      </c>
      <c r="BR25" s="1">
        <v>53494</v>
      </c>
      <c r="BS25" s="1">
        <v>51068</v>
      </c>
      <c r="BT25" s="1">
        <v>51135</v>
      </c>
      <c r="BU25" s="1">
        <v>55602</v>
      </c>
      <c r="BV25" s="1">
        <v>57748</v>
      </c>
      <c r="BW25" s="1">
        <v>62500</v>
      </c>
      <c r="BX25" s="1">
        <v>67292</v>
      </c>
      <c r="BY25" s="1">
        <v>30628</v>
      </c>
      <c r="BZ25" s="1">
        <v>33023</v>
      </c>
      <c r="CA25" s="1">
        <v>34478</v>
      </c>
      <c r="CB25" s="1">
        <v>36289</v>
      </c>
      <c r="CC25" s="1">
        <v>38302</v>
      </c>
      <c r="CD25" s="1">
        <v>40395</v>
      </c>
      <c r="CE25" s="1">
        <v>41798</v>
      </c>
      <c r="CF25" s="1">
        <v>43607</v>
      </c>
      <c r="CG25" s="1">
        <v>46291</v>
      </c>
      <c r="CH25" s="1">
        <v>49006</v>
      </c>
      <c r="CI25" s="1">
        <v>49978</v>
      </c>
      <c r="CJ25" s="1">
        <v>51252</v>
      </c>
      <c r="CK25" s="1">
        <v>53496</v>
      </c>
      <c r="CL25" s="1">
        <v>54518</v>
      </c>
      <c r="CM25" s="1">
        <v>57141</v>
      </c>
      <c r="CN25" s="1">
        <v>57321</v>
      </c>
      <c r="CO25" s="1">
        <v>58690</v>
      </c>
      <c r="CP25" s="1">
        <v>59497</v>
      </c>
      <c r="CQ25" s="1">
        <v>60563</v>
      </c>
      <c r="CR25" s="1">
        <v>57011</v>
      </c>
      <c r="CS25" s="1">
        <v>59912</v>
      </c>
      <c r="CT25" s="1">
        <v>61252</v>
      </c>
      <c r="CU25" s="1">
        <v>62945</v>
      </c>
      <c r="CV25" s="1">
        <v>68394</v>
      </c>
      <c r="CW25" s="1">
        <v>73641</v>
      </c>
      <c r="CX25" s="1">
        <v>18213</v>
      </c>
      <c r="CY25" s="1">
        <v>19546</v>
      </c>
      <c r="CZ25" s="1">
        <v>21520</v>
      </c>
      <c r="DA25" s="1">
        <v>22749</v>
      </c>
      <c r="DB25" s="1">
        <v>25137</v>
      </c>
      <c r="DC25" s="1">
        <v>26362</v>
      </c>
      <c r="DD25" s="1">
        <v>28069</v>
      </c>
      <c r="DE25" s="1">
        <v>30076</v>
      </c>
      <c r="DF25" s="1">
        <v>32299</v>
      </c>
      <c r="DG25" s="1">
        <v>35422</v>
      </c>
      <c r="DH25" s="1">
        <v>37525</v>
      </c>
      <c r="DI25" s="1">
        <v>38692</v>
      </c>
      <c r="DJ25" s="1">
        <v>41049</v>
      </c>
      <c r="DK25" s="1">
        <v>44178</v>
      </c>
      <c r="DL25" s="1">
        <v>47042</v>
      </c>
      <c r="DM25" s="1">
        <v>52192</v>
      </c>
      <c r="DN25" s="1">
        <v>52498</v>
      </c>
      <c r="DO25" s="1">
        <v>56305</v>
      </c>
      <c r="DP25" s="1">
        <v>58236</v>
      </c>
      <c r="DQ25" s="1">
        <v>55157</v>
      </c>
      <c r="DR25" s="1">
        <v>63821</v>
      </c>
      <c r="DS25" s="1">
        <v>61981</v>
      </c>
      <c r="DT25" s="1">
        <v>62655</v>
      </c>
      <c r="DU25" s="1">
        <v>68508</v>
      </c>
      <c r="DV25" s="1">
        <v>73776</v>
      </c>
      <c r="DW25" s="1">
        <v>22049</v>
      </c>
      <c r="DX25" s="1">
        <v>23251</v>
      </c>
      <c r="DY25" s="1">
        <v>23972</v>
      </c>
      <c r="DZ25" s="1">
        <v>24892</v>
      </c>
      <c r="EA25" s="1">
        <v>25759</v>
      </c>
      <c r="EB25" s="1">
        <v>27515</v>
      </c>
      <c r="EC25" s="1">
        <v>28847</v>
      </c>
      <c r="ED25" s="1">
        <v>30526</v>
      </c>
      <c r="EE25" s="1">
        <v>33599</v>
      </c>
      <c r="EF25" s="1">
        <v>36228</v>
      </c>
      <c r="EG25" s="1">
        <v>38446</v>
      </c>
      <c r="EH25" s="1">
        <v>41942</v>
      </c>
      <c r="EI25" s="1">
        <v>44444</v>
      </c>
      <c r="EJ25" s="1">
        <v>48497</v>
      </c>
      <c r="EK25" s="1">
        <v>51296</v>
      </c>
      <c r="EL25" s="1">
        <v>55392</v>
      </c>
      <c r="EM25" s="1">
        <v>59020</v>
      </c>
      <c r="EN25" s="1">
        <v>61876</v>
      </c>
      <c r="EO25" s="1">
        <v>66908</v>
      </c>
      <c r="EP25" s="1">
        <v>64946</v>
      </c>
      <c r="EQ25" s="1">
        <v>69381</v>
      </c>
      <c r="ER25" s="1">
        <v>71682</v>
      </c>
      <c r="ES25" s="1">
        <v>72960</v>
      </c>
      <c r="ET25" s="1">
        <v>79546</v>
      </c>
      <c r="EU25" s="1">
        <v>85633</v>
      </c>
    </row>
    <row r="26" spans="1:151" x14ac:dyDescent="0.25">
      <c r="A26" t="s">
        <v>30</v>
      </c>
      <c r="B26" s="1">
        <v>31904</v>
      </c>
      <c r="C26" s="1">
        <v>33921</v>
      </c>
      <c r="D26" s="1">
        <v>35912</v>
      </c>
      <c r="E26" s="1">
        <v>38516</v>
      </c>
      <c r="F26" s="1">
        <v>40551</v>
      </c>
      <c r="G26" s="1">
        <v>42785</v>
      </c>
      <c r="H26" s="1">
        <v>44873</v>
      </c>
      <c r="I26" s="1">
        <v>48180</v>
      </c>
      <c r="J26" s="1">
        <v>50974</v>
      </c>
      <c r="K26" s="1">
        <v>52639</v>
      </c>
      <c r="L26" s="1">
        <v>52060</v>
      </c>
      <c r="M26" s="1">
        <v>53422</v>
      </c>
      <c r="N26" s="1">
        <v>53901</v>
      </c>
      <c r="O26" s="1">
        <v>54543</v>
      </c>
      <c r="P26" s="1">
        <v>55877</v>
      </c>
      <c r="Q26" s="1">
        <v>58285</v>
      </c>
      <c r="R26" s="1">
        <v>60547</v>
      </c>
      <c r="S26" s="1">
        <v>62858</v>
      </c>
      <c r="T26" s="1">
        <v>65200</v>
      </c>
      <c r="U26" s="1">
        <v>76452</v>
      </c>
      <c r="V26" s="1">
        <v>79247</v>
      </c>
      <c r="W26" s="1">
        <v>81724</v>
      </c>
      <c r="X26" s="1">
        <v>91277</v>
      </c>
      <c r="Y26" s="1">
        <v>94895</v>
      </c>
      <c r="Z26" s="1">
        <v>93062</v>
      </c>
      <c r="AA26" s="1">
        <v>7336</v>
      </c>
      <c r="AB26" s="1">
        <v>7653</v>
      </c>
      <c r="AC26" s="1">
        <v>7901</v>
      </c>
      <c r="AD26" s="1">
        <v>8454</v>
      </c>
      <c r="AE26" s="1">
        <v>8597</v>
      </c>
      <c r="AF26" s="1">
        <v>8915</v>
      </c>
      <c r="AG26" s="1">
        <v>9402</v>
      </c>
      <c r="AH26" s="1">
        <v>10137</v>
      </c>
      <c r="AI26" s="1">
        <v>10072</v>
      </c>
      <c r="AJ26" s="1">
        <v>9615</v>
      </c>
      <c r="AK26" s="1">
        <v>9550</v>
      </c>
      <c r="AL26" s="1">
        <v>9530</v>
      </c>
      <c r="AM26" s="1">
        <v>9810</v>
      </c>
      <c r="AN26" s="1">
        <v>9404</v>
      </c>
      <c r="AO26" s="1">
        <v>9772</v>
      </c>
      <c r="AP26" s="1">
        <v>10120</v>
      </c>
      <c r="AQ26" s="1">
        <v>10678</v>
      </c>
      <c r="AR26" s="1">
        <v>10845</v>
      </c>
      <c r="AS26" s="1">
        <v>11750</v>
      </c>
      <c r="AT26" s="1">
        <v>13956</v>
      </c>
      <c r="AU26" s="1">
        <v>13295</v>
      </c>
      <c r="AV26" s="1">
        <v>13887</v>
      </c>
      <c r="AW26" s="1">
        <v>15511</v>
      </c>
      <c r="AX26" s="1">
        <v>16151</v>
      </c>
      <c r="AY26" s="1">
        <v>15843</v>
      </c>
      <c r="AZ26" s="1">
        <v>9361</v>
      </c>
      <c r="BA26" s="1">
        <v>9590</v>
      </c>
      <c r="BB26" s="1">
        <v>10195</v>
      </c>
      <c r="BC26" s="1">
        <v>10456</v>
      </c>
      <c r="BD26" s="1">
        <v>11065</v>
      </c>
      <c r="BE26" s="1">
        <v>11265</v>
      </c>
      <c r="BF26" s="1">
        <v>11690</v>
      </c>
      <c r="BG26" s="1">
        <v>12720</v>
      </c>
      <c r="BH26" s="1">
        <v>13050</v>
      </c>
      <c r="BI26" s="1">
        <v>12880</v>
      </c>
      <c r="BJ26" s="1">
        <v>12027</v>
      </c>
      <c r="BK26" s="1">
        <v>11821</v>
      </c>
      <c r="BL26" s="1">
        <v>11075</v>
      </c>
      <c r="BM26" s="1">
        <v>11330</v>
      </c>
      <c r="BN26" s="1">
        <v>11791</v>
      </c>
      <c r="BO26" s="1">
        <v>11851</v>
      </c>
      <c r="BP26" s="1">
        <v>12499</v>
      </c>
      <c r="BQ26" s="1">
        <v>13028</v>
      </c>
      <c r="BR26" s="1">
        <v>13651</v>
      </c>
      <c r="BS26" s="1">
        <v>16224</v>
      </c>
      <c r="BT26" s="1">
        <v>15832</v>
      </c>
      <c r="BU26" s="1">
        <v>17379</v>
      </c>
      <c r="BV26" s="1">
        <v>19429</v>
      </c>
      <c r="BW26" s="1">
        <v>20216</v>
      </c>
      <c r="BX26" s="1">
        <v>19831</v>
      </c>
      <c r="BY26" s="1">
        <v>7580</v>
      </c>
      <c r="BZ26" s="1">
        <v>8376</v>
      </c>
      <c r="CA26" s="1">
        <v>8753</v>
      </c>
      <c r="CB26" s="1">
        <v>9816</v>
      </c>
      <c r="CC26" s="1">
        <v>10278</v>
      </c>
      <c r="CD26" s="1">
        <v>11311</v>
      </c>
      <c r="CE26" s="1">
        <v>11863</v>
      </c>
      <c r="CF26" s="1">
        <v>12140</v>
      </c>
      <c r="CG26" s="1">
        <v>13000</v>
      </c>
      <c r="CH26" s="1">
        <v>13894</v>
      </c>
      <c r="CI26" s="1">
        <v>13662</v>
      </c>
      <c r="CJ26" s="1">
        <v>13808</v>
      </c>
      <c r="CK26" s="1">
        <v>13690</v>
      </c>
      <c r="CL26" s="1">
        <v>13360</v>
      </c>
      <c r="CM26" s="1">
        <v>13017</v>
      </c>
      <c r="CN26" s="1">
        <v>13559</v>
      </c>
      <c r="CO26" s="1">
        <v>13539</v>
      </c>
      <c r="CP26" s="1">
        <v>13823</v>
      </c>
      <c r="CQ26" s="1">
        <v>13991</v>
      </c>
      <c r="CR26" s="1">
        <v>16153</v>
      </c>
      <c r="CS26" s="1">
        <v>16641</v>
      </c>
      <c r="CT26" s="1">
        <v>16975</v>
      </c>
      <c r="CU26" s="1">
        <v>18943</v>
      </c>
      <c r="CV26" s="1">
        <v>19697</v>
      </c>
      <c r="CW26" s="1">
        <v>19335</v>
      </c>
      <c r="CX26" s="1">
        <v>3692</v>
      </c>
      <c r="CY26" s="1">
        <v>4186</v>
      </c>
      <c r="CZ26" s="1">
        <v>4746</v>
      </c>
      <c r="DA26" s="1">
        <v>5138</v>
      </c>
      <c r="DB26" s="1">
        <v>5872</v>
      </c>
      <c r="DC26" s="1">
        <v>6034</v>
      </c>
      <c r="DD26" s="1">
        <v>6639</v>
      </c>
      <c r="DE26" s="1">
        <v>7170</v>
      </c>
      <c r="DF26" s="1">
        <v>8513</v>
      </c>
      <c r="DG26" s="1">
        <v>8980</v>
      </c>
      <c r="DH26" s="1">
        <v>9423</v>
      </c>
      <c r="DI26" s="1">
        <v>9700</v>
      </c>
      <c r="DJ26" s="1">
        <v>10331</v>
      </c>
      <c r="DK26" s="1">
        <v>10214</v>
      </c>
      <c r="DL26" s="1">
        <v>10370</v>
      </c>
      <c r="DM26" s="1">
        <v>11465</v>
      </c>
      <c r="DN26" s="1">
        <v>11933</v>
      </c>
      <c r="DO26" s="1">
        <v>12579</v>
      </c>
      <c r="DP26" s="1">
        <v>12582</v>
      </c>
      <c r="DQ26" s="1">
        <v>14903</v>
      </c>
      <c r="DR26" s="1">
        <v>17371</v>
      </c>
      <c r="DS26" s="1">
        <v>17159</v>
      </c>
      <c r="DT26" s="1">
        <v>19177</v>
      </c>
      <c r="DU26" s="1">
        <v>19914</v>
      </c>
      <c r="DV26" s="1">
        <v>19520</v>
      </c>
      <c r="DW26" s="1">
        <v>3935</v>
      </c>
      <c r="DX26" s="1">
        <v>4116</v>
      </c>
      <c r="DY26" s="1">
        <v>4317</v>
      </c>
      <c r="DZ26" s="1">
        <v>4652</v>
      </c>
      <c r="EA26" s="1">
        <v>4739</v>
      </c>
      <c r="EB26" s="1">
        <v>5260</v>
      </c>
      <c r="EC26" s="1">
        <v>5279</v>
      </c>
      <c r="ED26" s="1">
        <v>6013</v>
      </c>
      <c r="EE26" s="1">
        <v>6339</v>
      </c>
      <c r="EF26" s="1">
        <v>7270</v>
      </c>
      <c r="EG26" s="1">
        <v>7398</v>
      </c>
      <c r="EH26" s="1">
        <v>8563</v>
      </c>
      <c r="EI26" s="1">
        <v>8995</v>
      </c>
      <c r="EJ26" s="1">
        <v>10235</v>
      </c>
      <c r="EK26" s="1">
        <v>10927</v>
      </c>
      <c r="EL26" s="1">
        <v>11290</v>
      </c>
      <c r="EM26" s="1">
        <v>11898</v>
      </c>
      <c r="EN26" s="1">
        <v>12583</v>
      </c>
      <c r="EO26" s="1">
        <v>13226</v>
      </c>
      <c r="EP26" s="1">
        <v>15216</v>
      </c>
      <c r="EQ26" s="1">
        <v>16108</v>
      </c>
      <c r="ER26" s="1">
        <v>16324</v>
      </c>
      <c r="ES26" s="1">
        <v>18217</v>
      </c>
      <c r="ET26" s="1">
        <v>18918</v>
      </c>
      <c r="EU26" s="1">
        <v>18534</v>
      </c>
    </row>
    <row r="27" spans="1:151" x14ac:dyDescent="0.25">
      <c r="A27" t="s">
        <v>31</v>
      </c>
      <c r="B27" s="1">
        <v>18335</v>
      </c>
      <c r="C27" s="1">
        <v>19802</v>
      </c>
      <c r="D27" s="1">
        <v>21548</v>
      </c>
      <c r="E27" s="1">
        <v>23418</v>
      </c>
      <c r="F27" s="1">
        <v>24760</v>
      </c>
      <c r="G27" s="1">
        <v>26646</v>
      </c>
      <c r="H27" s="1">
        <v>28720</v>
      </c>
      <c r="I27" s="1">
        <v>31246</v>
      </c>
      <c r="J27" s="1">
        <v>33824</v>
      </c>
      <c r="K27" s="1">
        <v>35944</v>
      </c>
      <c r="L27" s="1">
        <v>37843</v>
      </c>
      <c r="M27" s="1">
        <v>39809</v>
      </c>
      <c r="N27" s="1">
        <v>41354</v>
      </c>
      <c r="O27" s="1">
        <v>42508</v>
      </c>
      <c r="P27" s="1">
        <v>44037</v>
      </c>
      <c r="Q27" s="1">
        <v>45717</v>
      </c>
      <c r="R27" s="1">
        <v>47935</v>
      </c>
      <c r="S27" s="1">
        <v>50188</v>
      </c>
      <c r="T27" s="1">
        <v>52376</v>
      </c>
      <c r="U27" s="1">
        <v>51350</v>
      </c>
      <c r="V27" s="1">
        <v>53419</v>
      </c>
      <c r="W27" s="1">
        <v>50575</v>
      </c>
      <c r="X27" s="1">
        <v>56663</v>
      </c>
      <c r="Y27" s="1">
        <v>62000</v>
      </c>
      <c r="Z27" s="1">
        <v>66112</v>
      </c>
      <c r="AA27" s="1">
        <v>2764</v>
      </c>
      <c r="AB27" s="1">
        <v>2891</v>
      </c>
      <c r="AC27" s="1">
        <v>3145</v>
      </c>
      <c r="AD27" s="1">
        <v>3341</v>
      </c>
      <c r="AE27" s="1">
        <v>3301</v>
      </c>
      <c r="AF27" s="1">
        <v>3448</v>
      </c>
      <c r="AG27" s="1">
        <v>3485</v>
      </c>
      <c r="AH27" s="1">
        <v>3885</v>
      </c>
      <c r="AI27" s="1">
        <v>4248</v>
      </c>
      <c r="AJ27" s="1">
        <v>4276</v>
      </c>
      <c r="AK27" s="1">
        <v>4390</v>
      </c>
      <c r="AL27" s="1">
        <v>4624</v>
      </c>
      <c r="AM27" s="1">
        <v>4667</v>
      </c>
      <c r="AN27" s="1">
        <v>4686</v>
      </c>
      <c r="AO27" s="1">
        <v>4781</v>
      </c>
      <c r="AP27" s="1">
        <v>5210</v>
      </c>
      <c r="AQ27" s="1">
        <v>5604</v>
      </c>
      <c r="AR27" s="1">
        <v>6032</v>
      </c>
      <c r="AS27" s="1">
        <v>6250</v>
      </c>
      <c r="AT27" s="1">
        <v>5851</v>
      </c>
      <c r="AU27" s="1">
        <v>4662</v>
      </c>
      <c r="AV27" s="1">
        <v>5203</v>
      </c>
      <c r="AW27" s="1">
        <v>5835</v>
      </c>
      <c r="AX27" s="1">
        <v>6394</v>
      </c>
      <c r="AY27" s="1">
        <v>6826</v>
      </c>
      <c r="AZ27" s="1">
        <v>4524</v>
      </c>
      <c r="BA27" s="1">
        <v>4871</v>
      </c>
      <c r="BB27" s="1">
        <v>5019</v>
      </c>
      <c r="BC27" s="1">
        <v>5408</v>
      </c>
      <c r="BD27" s="1">
        <v>5587</v>
      </c>
      <c r="BE27" s="1">
        <v>5751</v>
      </c>
      <c r="BF27" s="1">
        <v>5996</v>
      </c>
      <c r="BG27" s="1">
        <v>6239</v>
      </c>
      <c r="BH27" s="1">
        <v>6060</v>
      </c>
      <c r="BI27" s="1">
        <v>6114</v>
      </c>
      <c r="BJ27" s="1">
        <v>6617</v>
      </c>
      <c r="BK27" s="1">
        <v>6938</v>
      </c>
      <c r="BL27" s="1">
        <v>7316</v>
      </c>
      <c r="BM27" s="1">
        <v>7082</v>
      </c>
      <c r="BN27" s="1">
        <v>6489</v>
      </c>
      <c r="BO27" s="1">
        <v>6858</v>
      </c>
      <c r="BP27" s="1">
        <v>7645</v>
      </c>
      <c r="BQ27" s="1">
        <v>7990</v>
      </c>
      <c r="BR27" s="1">
        <v>8399</v>
      </c>
      <c r="BS27" s="1">
        <v>7977</v>
      </c>
      <c r="BT27" s="1">
        <v>6880</v>
      </c>
      <c r="BU27" s="1">
        <v>6634</v>
      </c>
      <c r="BV27" s="1">
        <v>7428</v>
      </c>
      <c r="BW27" s="1">
        <v>8127</v>
      </c>
      <c r="BX27" s="1">
        <v>8660</v>
      </c>
      <c r="BY27" s="1">
        <v>4479</v>
      </c>
      <c r="BZ27" s="1">
        <v>4802</v>
      </c>
      <c r="CA27" s="1">
        <v>5255</v>
      </c>
      <c r="CB27" s="1">
        <v>5883</v>
      </c>
      <c r="CC27" s="1">
        <v>5969</v>
      </c>
      <c r="CD27" s="1">
        <v>6637</v>
      </c>
      <c r="CE27" s="1">
        <v>7292</v>
      </c>
      <c r="CF27" s="1">
        <v>7644</v>
      </c>
      <c r="CG27" s="1">
        <v>8410</v>
      </c>
      <c r="CH27" s="1">
        <v>8878</v>
      </c>
      <c r="CI27" s="1">
        <v>9134</v>
      </c>
      <c r="CJ27" s="1">
        <v>9755</v>
      </c>
      <c r="CK27" s="1">
        <v>9835</v>
      </c>
      <c r="CL27" s="1">
        <v>9647</v>
      </c>
      <c r="CM27" s="1">
        <v>9834</v>
      </c>
      <c r="CN27" s="1">
        <v>9219</v>
      </c>
      <c r="CO27" s="1">
        <v>9126</v>
      </c>
      <c r="CP27" s="1">
        <v>9232</v>
      </c>
      <c r="CQ27" s="1">
        <v>9637</v>
      </c>
      <c r="CR27" s="1">
        <v>9332</v>
      </c>
      <c r="CS27" s="1">
        <v>9829</v>
      </c>
      <c r="CT27" s="1">
        <v>9011</v>
      </c>
      <c r="CU27" s="1">
        <v>10085</v>
      </c>
      <c r="CV27" s="1">
        <v>11032</v>
      </c>
      <c r="CW27" s="1">
        <v>11763</v>
      </c>
      <c r="CX27" s="1">
        <v>2499</v>
      </c>
      <c r="CY27" s="1">
        <v>2698</v>
      </c>
      <c r="CZ27" s="1">
        <v>3203</v>
      </c>
      <c r="DA27" s="1">
        <v>3492</v>
      </c>
      <c r="DB27" s="1">
        <v>4257</v>
      </c>
      <c r="DC27" s="1">
        <v>4758</v>
      </c>
      <c r="DD27" s="1">
        <v>5282</v>
      </c>
      <c r="DE27" s="1">
        <v>5768</v>
      </c>
      <c r="DF27" s="1">
        <v>6619</v>
      </c>
      <c r="DG27" s="1">
        <v>6937</v>
      </c>
      <c r="DH27" s="1">
        <v>7696</v>
      </c>
      <c r="DI27" s="1">
        <v>8125</v>
      </c>
      <c r="DJ27" s="1">
        <v>8776</v>
      </c>
      <c r="DK27" s="1">
        <v>9120</v>
      </c>
      <c r="DL27" s="1">
        <v>9115</v>
      </c>
      <c r="DM27" s="1">
        <v>9672</v>
      </c>
      <c r="DN27" s="1">
        <v>10181</v>
      </c>
      <c r="DO27" s="1">
        <v>10661</v>
      </c>
      <c r="DP27" s="1">
        <v>11088</v>
      </c>
      <c r="DQ27" s="1">
        <v>11022</v>
      </c>
      <c r="DR27" s="1">
        <v>13421</v>
      </c>
      <c r="DS27" s="1">
        <v>12270</v>
      </c>
      <c r="DT27" s="1">
        <v>13741</v>
      </c>
      <c r="DU27" s="1">
        <v>15022</v>
      </c>
      <c r="DV27" s="1">
        <v>16007</v>
      </c>
      <c r="DW27" s="1">
        <v>4069</v>
      </c>
      <c r="DX27" s="1">
        <v>4540</v>
      </c>
      <c r="DY27" s="1">
        <v>4926</v>
      </c>
      <c r="DZ27" s="1">
        <v>5294</v>
      </c>
      <c r="EA27" s="1">
        <v>5646</v>
      </c>
      <c r="EB27" s="1">
        <v>6052</v>
      </c>
      <c r="EC27" s="1">
        <v>6665</v>
      </c>
      <c r="ED27" s="1">
        <v>7710</v>
      </c>
      <c r="EE27" s="1">
        <v>8487</v>
      </c>
      <c r="EF27" s="1">
        <v>9739</v>
      </c>
      <c r="EG27" s="1">
        <v>10006</v>
      </c>
      <c r="EH27" s="1">
        <v>10367</v>
      </c>
      <c r="EI27" s="1">
        <v>10760</v>
      </c>
      <c r="EJ27" s="1">
        <v>11973</v>
      </c>
      <c r="EK27" s="1">
        <v>13818</v>
      </c>
      <c r="EL27" s="1">
        <v>14758</v>
      </c>
      <c r="EM27" s="1">
        <v>15379</v>
      </c>
      <c r="EN27" s="1">
        <v>16273</v>
      </c>
      <c r="EO27" s="1">
        <v>17002</v>
      </c>
      <c r="EP27" s="1">
        <v>17168</v>
      </c>
      <c r="EQ27" s="1">
        <v>18627</v>
      </c>
      <c r="ER27" s="1">
        <v>17457</v>
      </c>
      <c r="ES27" s="1">
        <v>19574</v>
      </c>
      <c r="ET27" s="1">
        <v>21425</v>
      </c>
      <c r="EU27" s="1">
        <v>22854</v>
      </c>
    </row>
    <row r="28" spans="1:151" x14ac:dyDescent="0.25">
      <c r="A28" t="s">
        <v>32</v>
      </c>
      <c r="B28" s="1">
        <v>81881</v>
      </c>
      <c r="C28" s="1">
        <v>89012</v>
      </c>
      <c r="D28" s="1">
        <v>90542</v>
      </c>
      <c r="E28" s="1">
        <v>97163</v>
      </c>
      <c r="F28" s="1">
        <v>101244</v>
      </c>
      <c r="G28" s="1">
        <v>105296</v>
      </c>
      <c r="H28" s="1">
        <v>113683</v>
      </c>
      <c r="I28" s="1">
        <v>120288</v>
      </c>
      <c r="J28" s="1">
        <v>128871</v>
      </c>
      <c r="K28" s="1">
        <v>134707</v>
      </c>
      <c r="L28" s="1">
        <v>125375</v>
      </c>
      <c r="M28" s="1">
        <v>137860</v>
      </c>
      <c r="N28" s="1">
        <v>148259</v>
      </c>
      <c r="O28" s="1">
        <v>155318</v>
      </c>
      <c r="P28" s="1">
        <v>163831</v>
      </c>
      <c r="Q28" s="1">
        <v>172794</v>
      </c>
      <c r="R28" s="1">
        <v>172494</v>
      </c>
      <c r="S28" s="1">
        <v>176475</v>
      </c>
      <c r="T28" s="1">
        <v>189321</v>
      </c>
      <c r="U28" s="1">
        <v>208408</v>
      </c>
      <c r="V28" s="1">
        <v>209217</v>
      </c>
      <c r="W28" s="1">
        <v>164287</v>
      </c>
      <c r="X28" s="1">
        <v>189361</v>
      </c>
      <c r="Y28" s="1">
        <v>225423</v>
      </c>
      <c r="Z28" s="1">
        <v>243275</v>
      </c>
      <c r="AA28" s="1">
        <v>17263</v>
      </c>
      <c r="AB28" s="1">
        <v>18840</v>
      </c>
      <c r="AC28" s="1">
        <v>18990</v>
      </c>
      <c r="AD28" s="1">
        <v>20263</v>
      </c>
      <c r="AE28" s="1">
        <v>20534</v>
      </c>
      <c r="AF28" s="1">
        <v>21065</v>
      </c>
      <c r="AG28" s="1">
        <v>22475</v>
      </c>
      <c r="AH28" s="1">
        <v>23558</v>
      </c>
      <c r="AI28" s="1">
        <v>24841</v>
      </c>
      <c r="AJ28" s="1">
        <v>25863</v>
      </c>
      <c r="AK28" s="1">
        <v>24268</v>
      </c>
      <c r="AL28" s="1">
        <v>27360</v>
      </c>
      <c r="AM28" s="1">
        <v>29384</v>
      </c>
      <c r="AN28" s="1">
        <v>29973</v>
      </c>
      <c r="AO28" s="1">
        <v>31295</v>
      </c>
      <c r="AP28" s="1">
        <v>34260</v>
      </c>
      <c r="AQ28" s="1">
        <v>34474</v>
      </c>
      <c r="AR28" s="1">
        <v>35239</v>
      </c>
      <c r="AS28" s="1">
        <v>37524</v>
      </c>
      <c r="AT28" s="1">
        <v>40988</v>
      </c>
      <c r="AU28" s="1">
        <v>35066</v>
      </c>
      <c r="AV28" s="1">
        <v>29745</v>
      </c>
      <c r="AW28" s="1">
        <v>33895</v>
      </c>
      <c r="AX28" s="1">
        <v>40238</v>
      </c>
      <c r="AY28" s="1">
        <v>43386</v>
      </c>
      <c r="AZ28" s="1">
        <v>23069</v>
      </c>
      <c r="BA28" s="1">
        <v>24554</v>
      </c>
      <c r="BB28" s="1">
        <v>24099</v>
      </c>
      <c r="BC28" s="1">
        <v>25369</v>
      </c>
      <c r="BD28" s="1">
        <v>26175</v>
      </c>
      <c r="BE28" s="1">
        <v>25953</v>
      </c>
      <c r="BF28" s="1">
        <v>27404</v>
      </c>
      <c r="BG28" s="1">
        <v>28401</v>
      </c>
      <c r="BH28" s="1">
        <v>30117</v>
      </c>
      <c r="BI28" s="1">
        <v>30669</v>
      </c>
      <c r="BJ28" s="1">
        <v>27216</v>
      </c>
      <c r="BK28" s="1">
        <v>28950</v>
      </c>
      <c r="BL28" s="1">
        <v>31550</v>
      </c>
      <c r="BM28" s="1">
        <v>33856</v>
      </c>
      <c r="BN28" s="1">
        <v>36155</v>
      </c>
      <c r="BO28" s="1">
        <v>36858</v>
      </c>
      <c r="BP28" s="1">
        <v>37045</v>
      </c>
      <c r="BQ28" s="1">
        <v>36659</v>
      </c>
      <c r="BR28" s="1">
        <v>39346</v>
      </c>
      <c r="BS28" s="1">
        <v>42574</v>
      </c>
      <c r="BT28" s="1">
        <v>41926</v>
      </c>
      <c r="BU28" s="1">
        <v>34284</v>
      </c>
      <c r="BV28" s="1">
        <v>40147</v>
      </c>
      <c r="BW28" s="1">
        <v>47929</v>
      </c>
      <c r="BX28" s="1">
        <v>51706</v>
      </c>
      <c r="BY28" s="1">
        <v>22411</v>
      </c>
      <c r="BZ28" s="1">
        <v>24275</v>
      </c>
      <c r="CA28" s="1">
        <v>24672</v>
      </c>
      <c r="CB28" s="1">
        <v>26836</v>
      </c>
      <c r="CC28" s="1">
        <v>27795</v>
      </c>
      <c r="CD28" s="1">
        <v>29028</v>
      </c>
      <c r="CE28" s="1">
        <v>31438</v>
      </c>
      <c r="CF28" s="1">
        <v>34008</v>
      </c>
      <c r="CG28" s="1">
        <v>36578</v>
      </c>
      <c r="CH28" s="1">
        <v>37500</v>
      </c>
      <c r="CI28" s="1">
        <v>34597</v>
      </c>
      <c r="CJ28" s="1">
        <v>36817</v>
      </c>
      <c r="CK28" s="1">
        <v>39646</v>
      </c>
      <c r="CL28" s="1">
        <v>40136</v>
      </c>
      <c r="CM28" s="1">
        <v>42132</v>
      </c>
      <c r="CN28" s="1">
        <v>43350</v>
      </c>
      <c r="CO28" s="1">
        <v>41166</v>
      </c>
      <c r="CP28" s="1">
        <v>41116</v>
      </c>
      <c r="CQ28" s="1">
        <v>43899</v>
      </c>
      <c r="CR28" s="1">
        <v>48344</v>
      </c>
      <c r="CS28" s="1">
        <v>50781</v>
      </c>
      <c r="CT28" s="1">
        <v>38688</v>
      </c>
      <c r="CU28" s="1">
        <v>46070</v>
      </c>
      <c r="CV28" s="1">
        <v>55183</v>
      </c>
      <c r="CW28" s="1">
        <v>59549</v>
      </c>
      <c r="CX28" s="1">
        <v>10357</v>
      </c>
      <c r="CY28" s="1">
        <v>11574</v>
      </c>
      <c r="CZ28" s="1">
        <v>12516</v>
      </c>
      <c r="DA28" s="1">
        <v>13690</v>
      </c>
      <c r="DB28" s="1">
        <v>15723</v>
      </c>
      <c r="DC28" s="1">
        <v>17654</v>
      </c>
      <c r="DD28" s="1">
        <v>19830</v>
      </c>
      <c r="DE28" s="1">
        <v>21087</v>
      </c>
      <c r="DF28" s="1">
        <v>22105</v>
      </c>
      <c r="DG28" s="1">
        <v>23418</v>
      </c>
      <c r="DH28" s="1">
        <v>22895</v>
      </c>
      <c r="DI28" s="1">
        <v>25207</v>
      </c>
      <c r="DJ28" s="1">
        <v>26530</v>
      </c>
      <c r="DK28" s="1">
        <v>28260</v>
      </c>
      <c r="DL28" s="1">
        <v>30112</v>
      </c>
      <c r="DM28" s="1">
        <v>32320</v>
      </c>
      <c r="DN28" s="1">
        <v>33329</v>
      </c>
      <c r="DO28" s="1">
        <v>34228</v>
      </c>
      <c r="DP28" s="1">
        <v>36906</v>
      </c>
      <c r="DQ28" s="1">
        <v>41581</v>
      </c>
      <c r="DR28" s="1">
        <v>46451</v>
      </c>
      <c r="DS28" s="1">
        <v>31282</v>
      </c>
      <c r="DT28" s="1">
        <v>35573</v>
      </c>
      <c r="DU28" s="1">
        <v>42250</v>
      </c>
      <c r="DV28" s="1">
        <v>45599</v>
      </c>
      <c r="DW28" s="1">
        <v>8781</v>
      </c>
      <c r="DX28" s="1">
        <v>9769</v>
      </c>
      <c r="DY28" s="1">
        <v>10265</v>
      </c>
      <c r="DZ28" s="1">
        <v>11005</v>
      </c>
      <c r="EA28" s="1">
        <v>11017</v>
      </c>
      <c r="EB28" s="1">
        <v>11596</v>
      </c>
      <c r="EC28" s="1">
        <v>12536</v>
      </c>
      <c r="ED28" s="1">
        <v>13234</v>
      </c>
      <c r="EE28" s="1">
        <v>15230</v>
      </c>
      <c r="EF28" s="1">
        <v>17257</v>
      </c>
      <c r="EG28" s="1">
        <v>16399</v>
      </c>
      <c r="EH28" s="1">
        <v>19526</v>
      </c>
      <c r="EI28" s="1">
        <v>21149</v>
      </c>
      <c r="EJ28" s="1">
        <v>23093</v>
      </c>
      <c r="EK28" s="1">
        <v>24137</v>
      </c>
      <c r="EL28" s="1">
        <v>26006</v>
      </c>
      <c r="EM28" s="1">
        <v>26480</v>
      </c>
      <c r="EN28" s="1">
        <v>29233</v>
      </c>
      <c r="EO28" s="1">
        <v>31646</v>
      </c>
      <c r="EP28" s="1">
        <v>34921</v>
      </c>
      <c r="EQ28" s="1">
        <v>34993</v>
      </c>
      <c r="ER28" s="1">
        <v>30288</v>
      </c>
      <c r="ES28" s="1">
        <v>33675</v>
      </c>
      <c r="ET28" s="1">
        <v>39824</v>
      </c>
      <c r="EU28" s="1">
        <v>43033</v>
      </c>
    </row>
    <row r="29" spans="1:151" x14ac:dyDescent="0.25">
      <c r="A29" t="s">
        <v>33</v>
      </c>
      <c r="B29" s="1">
        <v>11372</v>
      </c>
      <c r="C29" s="1">
        <v>12642</v>
      </c>
      <c r="D29" s="1">
        <v>13672</v>
      </c>
      <c r="E29" s="1">
        <v>15134</v>
      </c>
      <c r="F29" s="1">
        <v>15788</v>
      </c>
      <c r="G29" s="1">
        <v>16811</v>
      </c>
      <c r="H29" s="1">
        <v>18071</v>
      </c>
      <c r="I29" s="1">
        <v>19243</v>
      </c>
      <c r="J29" s="1">
        <v>20175</v>
      </c>
      <c r="K29" s="1">
        <v>21030</v>
      </c>
      <c r="L29" s="1">
        <v>22551</v>
      </c>
      <c r="M29" s="1">
        <v>23423</v>
      </c>
      <c r="N29" s="1">
        <v>24745</v>
      </c>
      <c r="O29" s="1">
        <v>25561</v>
      </c>
      <c r="P29" s="1">
        <v>26831</v>
      </c>
      <c r="Q29" s="1">
        <v>28184</v>
      </c>
      <c r="R29" s="1">
        <v>29495</v>
      </c>
      <c r="S29" s="1">
        <v>30697</v>
      </c>
      <c r="T29" s="1">
        <v>33112</v>
      </c>
      <c r="U29" s="1">
        <v>32218</v>
      </c>
      <c r="V29" s="1">
        <v>33343</v>
      </c>
      <c r="W29" s="1">
        <v>34090</v>
      </c>
      <c r="X29" s="1">
        <v>35384</v>
      </c>
      <c r="Y29" s="1">
        <v>37378</v>
      </c>
      <c r="Z29" s="1">
        <v>39258</v>
      </c>
      <c r="AA29" s="1">
        <v>2579</v>
      </c>
      <c r="AB29" s="1">
        <v>2856</v>
      </c>
      <c r="AC29" s="1">
        <v>3054</v>
      </c>
      <c r="AD29" s="1">
        <v>3311</v>
      </c>
      <c r="AE29" s="1">
        <v>3370</v>
      </c>
      <c r="AF29" s="1">
        <v>3585</v>
      </c>
      <c r="AG29" s="1">
        <v>3850</v>
      </c>
      <c r="AH29" s="1">
        <v>4172</v>
      </c>
      <c r="AI29" s="1">
        <v>4351</v>
      </c>
      <c r="AJ29" s="1">
        <v>4493</v>
      </c>
      <c r="AK29" s="1">
        <v>4764</v>
      </c>
      <c r="AL29" s="1">
        <v>4954</v>
      </c>
      <c r="AM29" s="1">
        <v>5217</v>
      </c>
      <c r="AN29" s="1">
        <v>5291</v>
      </c>
      <c r="AO29" s="1">
        <v>5511</v>
      </c>
      <c r="AP29" s="1">
        <v>5807</v>
      </c>
      <c r="AQ29" s="1">
        <v>6037</v>
      </c>
      <c r="AR29" s="1">
        <v>6315</v>
      </c>
      <c r="AS29" s="1">
        <v>6876</v>
      </c>
      <c r="AT29" s="1">
        <v>6730</v>
      </c>
      <c r="AU29" s="1">
        <v>6087</v>
      </c>
      <c r="AV29" s="1">
        <v>6751</v>
      </c>
      <c r="AW29" s="1">
        <v>7010</v>
      </c>
      <c r="AX29" s="1">
        <v>7402</v>
      </c>
      <c r="AY29" s="1">
        <v>7783</v>
      </c>
      <c r="AZ29" s="1">
        <v>3057</v>
      </c>
      <c r="BA29" s="1">
        <v>3367</v>
      </c>
      <c r="BB29" s="1">
        <v>3635</v>
      </c>
      <c r="BC29" s="1">
        <v>3913</v>
      </c>
      <c r="BD29" s="1">
        <v>4064</v>
      </c>
      <c r="BE29" s="1">
        <v>4185</v>
      </c>
      <c r="BF29" s="1">
        <v>4394</v>
      </c>
      <c r="BG29" s="1">
        <v>4558</v>
      </c>
      <c r="BH29" s="1">
        <v>4604</v>
      </c>
      <c r="BI29" s="1">
        <v>4676</v>
      </c>
      <c r="BJ29" s="1">
        <v>4768</v>
      </c>
      <c r="BK29" s="1">
        <v>4917</v>
      </c>
      <c r="BL29" s="1">
        <v>5200</v>
      </c>
      <c r="BM29" s="1">
        <v>5351</v>
      </c>
      <c r="BN29" s="1">
        <v>5411</v>
      </c>
      <c r="BO29" s="1">
        <v>5724</v>
      </c>
      <c r="BP29" s="1">
        <v>5833</v>
      </c>
      <c r="BQ29" s="1">
        <v>6054</v>
      </c>
      <c r="BR29" s="1">
        <v>6681</v>
      </c>
      <c r="BS29" s="1">
        <v>6493</v>
      </c>
      <c r="BT29" s="1">
        <v>6427</v>
      </c>
      <c r="BU29" s="1">
        <v>6749</v>
      </c>
      <c r="BV29" s="1">
        <v>7010</v>
      </c>
      <c r="BW29" s="1">
        <v>7409</v>
      </c>
      <c r="BX29" s="1">
        <v>7781</v>
      </c>
      <c r="BY29" s="1">
        <v>2777</v>
      </c>
      <c r="BZ29" s="1">
        <v>3120</v>
      </c>
      <c r="CA29" s="1">
        <v>3388</v>
      </c>
      <c r="CB29" s="1">
        <v>3756</v>
      </c>
      <c r="CC29" s="1">
        <v>3908</v>
      </c>
      <c r="CD29" s="1">
        <v>4106</v>
      </c>
      <c r="CE29" s="1">
        <v>4557</v>
      </c>
      <c r="CF29" s="1">
        <v>4894</v>
      </c>
      <c r="CG29" s="1">
        <v>5168</v>
      </c>
      <c r="CH29" s="1">
        <v>5480</v>
      </c>
      <c r="CI29" s="1">
        <v>5872</v>
      </c>
      <c r="CJ29" s="1">
        <v>6068</v>
      </c>
      <c r="CK29" s="1">
        <v>6339</v>
      </c>
      <c r="CL29" s="1">
        <v>6427</v>
      </c>
      <c r="CM29" s="1">
        <v>6681</v>
      </c>
      <c r="CN29" s="1">
        <v>6783</v>
      </c>
      <c r="CO29" s="1">
        <v>6977</v>
      </c>
      <c r="CP29" s="1">
        <v>7043</v>
      </c>
      <c r="CQ29" s="1">
        <v>7331</v>
      </c>
      <c r="CR29" s="1">
        <v>6991</v>
      </c>
      <c r="CS29" s="1">
        <v>6856</v>
      </c>
      <c r="CT29" s="1">
        <v>7061</v>
      </c>
      <c r="CU29" s="1">
        <v>7319</v>
      </c>
      <c r="CV29" s="1">
        <v>7733</v>
      </c>
      <c r="CW29" s="1">
        <v>8120</v>
      </c>
      <c r="CX29" s="1">
        <v>1380</v>
      </c>
      <c r="CY29" s="1">
        <v>1590</v>
      </c>
      <c r="CZ29" s="1">
        <v>1796</v>
      </c>
      <c r="DA29" s="1">
        <v>2153</v>
      </c>
      <c r="DB29" s="1">
        <v>2368</v>
      </c>
      <c r="DC29" s="1">
        <v>2624</v>
      </c>
      <c r="DD29" s="1">
        <v>2854</v>
      </c>
      <c r="DE29" s="1">
        <v>2992</v>
      </c>
      <c r="DF29" s="1">
        <v>3278</v>
      </c>
      <c r="DG29" s="1">
        <v>3511</v>
      </c>
      <c r="DH29" s="1">
        <v>3867</v>
      </c>
      <c r="DI29" s="1">
        <v>3979</v>
      </c>
      <c r="DJ29" s="1">
        <v>4165</v>
      </c>
      <c r="DK29" s="1">
        <v>4462</v>
      </c>
      <c r="DL29" s="1">
        <v>4707</v>
      </c>
      <c r="DM29" s="1">
        <v>5155</v>
      </c>
      <c r="DN29" s="1">
        <v>5402</v>
      </c>
      <c r="DO29" s="1">
        <v>5502</v>
      </c>
      <c r="DP29" s="1">
        <v>5979</v>
      </c>
      <c r="DQ29" s="1">
        <v>5887</v>
      </c>
      <c r="DR29" s="1">
        <v>7134</v>
      </c>
      <c r="DS29" s="1">
        <v>6695</v>
      </c>
      <c r="DT29" s="1">
        <v>6944</v>
      </c>
      <c r="DU29" s="1">
        <v>7337</v>
      </c>
      <c r="DV29" s="1">
        <v>7699</v>
      </c>
      <c r="DW29" s="1">
        <v>1579</v>
      </c>
      <c r="DX29" s="1">
        <v>1709</v>
      </c>
      <c r="DY29" s="1">
        <v>1799</v>
      </c>
      <c r="DZ29" s="1">
        <v>2001</v>
      </c>
      <c r="EA29" s="1">
        <v>2078</v>
      </c>
      <c r="EB29" s="1">
        <v>2311</v>
      </c>
      <c r="EC29" s="1">
        <v>2416</v>
      </c>
      <c r="ED29" s="1">
        <v>2627</v>
      </c>
      <c r="EE29" s="1">
        <v>2774</v>
      </c>
      <c r="EF29" s="1">
        <v>2870</v>
      </c>
      <c r="EG29" s="1">
        <v>3280</v>
      </c>
      <c r="EH29" s="1">
        <v>3505</v>
      </c>
      <c r="EI29" s="1">
        <v>3824</v>
      </c>
      <c r="EJ29" s="1">
        <v>4030</v>
      </c>
      <c r="EK29" s="1">
        <v>4521</v>
      </c>
      <c r="EL29" s="1">
        <v>4715</v>
      </c>
      <c r="EM29" s="1">
        <v>5246</v>
      </c>
      <c r="EN29" s="1">
        <v>5783</v>
      </c>
      <c r="EO29" s="1">
        <v>6245</v>
      </c>
      <c r="EP29" s="1">
        <v>6117</v>
      </c>
      <c r="EQ29" s="1">
        <v>6839</v>
      </c>
      <c r="ER29" s="1">
        <v>6834</v>
      </c>
      <c r="ES29" s="1">
        <v>7101</v>
      </c>
      <c r="ET29" s="1">
        <v>7497</v>
      </c>
      <c r="EU29" s="1">
        <v>7872</v>
      </c>
    </row>
    <row r="30" spans="1:151" x14ac:dyDescent="0.25">
      <c r="A30" t="s">
        <v>34</v>
      </c>
      <c r="B30" s="1">
        <v>54244</v>
      </c>
      <c r="C30" s="1">
        <v>58523</v>
      </c>
      <c r="D30" s="1">
        <v>61600</v>
      </c>
      <c r="E30" s="1">
        <v>64807</v>
      </c>
      <c r="F30" s="1">
        <v>67024</v>
      </c>
      <c r="G30" s="1">
        <v>69501</v>
      </c>
      <c r="H30" s="1">
        <v>72867</v>
      </c>
      <c r="I30" s="1">
        <v>76571</v>
      </c>
      <c r="J30" s="1">
        <v>80747</v>
      </c>
      <c r="K30" s="1">
        <v>83203</v>
      </c>
      <c r="L30" s="1">
        <v>83559</v>
      </c>
      <c r="M30" s="1">
        <v>86079</v>
      </c>
      <c r="N30" s="1">
        <v>88040</v>
      </c>
      <c r="O30" s="1">
        <v>89397</v>
      </c>
      <c r="P30" s="1">
        <v>90358</v>
      </c>
      <c r="Q30" s="1">
        <v>92395</v>
      </c>
      <c r="R30" s="1">
        <v>94536</v>
      </c>
      <c r="S30" s="1">
        <v>95717</v>
      </c>
      <c r="T30" s="1">
        <v>97781</v>
      </c>
      <c r="U30" s="1">
        <v>112177</v>
      </c>
      <c r="V30" s="1">
        <v>114161</v>
      </c>
      <c r="W30" s="1">
        <v>105210</v>
      </c>
      <c r="X30" s="1">
        <v>116160</v>
      </c>
      <c r="Y30" s="1">
        <v>129907</v>
      </c>
      <c r="Z30" s="1">
        <v>134389</v>
      </c>
      <c r="AA30" s="1">
        <v>11327</v>
      </c>
      <c r="AB30" s="1">
        <v>11803</v>
      </c>
      <c r="AC30" s="1">
        <v>11771</v>
      </c>
      <c r="AD30" s="1">
        <v>12201</v>
      </c>
      <c r="AE30" s="1">
        <v>12461</v>
      </c>
      <c r="AF30" s="1">
        <v>13324</v>
      </c>
      <c r="AG30" s="1">
        <v>14036</v>
      </c>
      <c r="AH30" s="1">
        <v>14983</v>
      </c>
      <c r="AI30" s="1">
        <v>15474</v>
      </c>
      <c r="AJ30" s="1">
        <v>15241</v>
      </c>
      <c r="AK30" s="1">
        <v>15343</v>
      </c>
      <c r="AL30" s="1">
        <v>15680</v>
      </c>
      <c r="AM30" s="1">
        <v>15953</v>
      </c>
      <c r="AN30" s="1">
        <v>15883</v>
      </c>
      <c r="AO30" s="1">
        <v>15789</v>
      </c>
      <c r="AP30" s="1">
        <v>15851</v>
      </c>
      <c r="AQ30" s="1">
        <v>15817</v>
      </c>
      <c r="AR30" s="1">
        <v>16057</v>
      </c>
      <c r="AS30" s="1">
        <v>16311</v>
      </c>
      <c r="AT30" s="1">
        <v>18495</v>
      </c>
      <c r="AU30" s="1">
        <v>21478</v>
      </c>
      <c r="AV30" s="1">
        <v>17589</v>
      </c>
      <c r="AW30" s="1">
        <v>19337</v>
      </c>
      <c r="AX30" s="1">
        <v>21671</v>
      </c>
      <c r="AY30" s="1">
        <v>22463</v>
      </c>
      <c r="AZ30" s="1">
        <v>15909</v>
      </c>
      <c r="BA30" s="1">
        <v>17514</v>
      </c>
      <c r="BB30" s="1">
        <v>18034</v>
      </c>
      <c r="BC30" s="1">
        <v>19168</v>
      </c>
      <c r="BD30" s="1">
        <v>19055</v>
      </c>
      <c r="BE30" s="1">
        <v>18691</v>
      </c>
      <c r="BF30" s="1">
        <v>19479</v>
      </c>
      <c r="BG30" s="1">
        <v>19957</v>
      </c>
      <c r="BH30" s="1">
        <v>20075</v>
      </c>
      <c r="BI30" s="1">
        <v>20555</v>
      </c>
      <c r="BJ30" s="1">
        <v>19046</v>
      </c>
      <c r="BK30" s="1">
        <v>18882</v>
      </c>
      <c r="BL30" s="1">
        <v>18987</v>
      </c>
      <c r="BM30" s="1">
        <v>19085</v>
      </c>
      <c r="BN30" s="1">
        <v>18612</v>
      </c>
      <c r="BO30" s="1">
        <v>19234</v>
      </c>
      <c r="BP30" s="1">
        <v>19881</v>
      </c>
      <c r="BQ30" s="1">
        <v>20189</v>
      </c>
      <c r="BR30" s="1">
        <v>20096</v>
      </c>
      <c r="BS30" s="1">
        <v>24451</v>
      </c>
      <c r="BT30" s="1">
        <v>21589</v>
      </c>
      <c r="BU30" s="1">
        <v>23268</v>
      </c>
      <c r="BV30" s="1">
        <v>25652</v>
      </c>
      <c r="BW30" s="1">
        <v>28737</v>
      </c>
      <c r="BX30" s="1">
        <v>29801</v>
      </c>
      <c r="BY30" s="1">
        <v>14119</v>
      </c>
      <c r="BZ30" s="1">
        <v>15213</v>
      </c>
      <c r="CA30" s="1">
        <v>16060</v>
      </c>
      <c r="CB30" s="1">
        <v>16844</v>
      </c>
      <c r="CC30" s="1">
        <v>17429</v>
      </c>
      <c r="CD30" s="1">
        <v>18360</v>
      </c>
      <c r="CE30" s="1">
        <v>19276</v>
      </c>
      <c r="CF30" s="1">
        <v>20512</v>
      </c>
      <c r="CG30" s="1">
        <v>21931</v>
      </c>
      <c r="CH30" s="1">
        <v>22536</v>
      </c>
      <c r="CI30" s="1">
        <v>22596</v>
      </c>
      <c r="CJ30" s="1">
        <v>22546</v>
      </c>
      <c r="CK30" s="1">
        <v>22506</v>
      </c>
      <c r="CL30" s="1">
        <v>21905</v>
      </c>
      <c r="CM30" s="1">
        <v>22245</v>
      </c>
      <c r="CN30" s="1">
        <v>22230</v>
      </c>
      <c r="CO30" s="1">
        <v>22027</v>
      </c>
      <c r="CP30" s="1">
        <v>22263</v>
      </c>
      <c r="CQ30" s="1">
        <v>23156</v>
      </c>
      <c r="CR30" s="1">
        <v>25985</v>
      </c>
      <c r="CS30" s="1">
        <v>21745</v>
      </c>
      <c r="CT30" s="1">
        <v>22400</v>
      </c>
      <c r="CU30" s="1">
        <v>24749</v>
      </c>
      <c r="CV30" s="1">
        <v>27728</v>
      </c>
      <c r="CW30" s="1">
        <v>28642</v>
      </c>
      <c r="CX30" s="1">
        <v>6714</v>
      </c>
      <c r="CY30" s="1">
        <v>7664</v>
      </c>
      <c r="CZ30" s="1">
        <v>8636</v>
      </c>
      <c r="DA30" s="1">
        <v>9307</v>
      </c>
      <c r="DB30" s="1">
        <v>10713</v>
      </c>
      <c r="DC30" s="1">
        <v>11539</v>
      </c>
      <c r="DD30" s="1">
        <v>11896</v>
      </c>
      <c r="DE30" s="1">
        <v>12278</v>
      </c>
      <c r="DF30" s="1">
        <v>13745</v>
      </c>
      <c r="DG30" s="1">
        <v>14237</v>
      </c>
      <c r="DH30" s="1">
        <v>15132</v>
      </c>
      <c r="DI30" s="1">
        <v>15623</v>
      </c>
      <c r="DJ30" s="1">
        <v>16358</v>
      </c>
      <c r="DK30" s="1">
        <v>17539</v>
      </c>
      <c r="DL30" s="1">
        <v>17954</v>
      </c>
      <c r="DM30" s="1">
        <v>18575</v>
      </c>
      <c r="DN30" s="1">
        <v>19023</v>
      </c>
      <c r="DO30" s="1">
        <v>18706</v>
      </c>
      <c r="DP30" s="1">
        <v>19461</v>
      </c>
      <c r="DQ30" s="1">
        <v>22443</v>
      </c>
      <c r="DR30" s="1">
        <v>21387</v>
      </c>
      <c r="DS30" s="1">
        <v>22131</v>
      </c>
      <c r="DT30" s="1">
        <v>24518</v>
      </c>
      <c r="DU30" s="1">
        <v>27326</v>
      </c>
      <c r="DV30" s="1">
        <v>28238</v>
      </c>
      <c r="DW30" s="1">
        <v>6175</v>
      </c>
      <c r="DX30" s="1">
        <v>6329</v>
      </c>
      <c r="DY30" s="1">
        <v>7099</v>
      </c>
      <c r="DZ30" s="1">
        <v>7287</v>
      </c>
      <c r="EA30" s="1">
        <v>7366</v>
      </c>
      <c r="EB30" s="1">
        <v>7587</v>
      </c>
      <c r="EC30" s="1">
        <v>8180</v>
      </c>
      <c r="ED30" s="1">
        <v>8841</v>
      </c>
      <c r="EE30" s="1">
        <v>9522</v>
      </c>
      <c r="EF30" s="1">
        <v>10634</v>
      </c>
      <c r="EG30" s="1">
        <v>11442</v>
      </c>
      <c r="EH30" s="1">
        <v>13348</v>
      </c>
      <c r="EI30" s="1">
        <v>14236</v>
      </c>
      <c r="EJ30" s="1">
        <v>14985</v>
      </c>
      <c r="EK30" s="1">
        <v>15758</v>
      </c>
      <c r="EL30" s="1">
        <v>16505</v>
      </c>
      <c r="EM30" s="1">
        <v>17788</v>
      </c>
      <c r="EN30" s="1">
        <v>18502</v>
      </c>
      <c r="EO30" s="1">
        <v>18757</v>
      </c>
      <c r="EP30" s="1">
        <v>20803</v>
      </c>
      <c r="EQ30" s="1">
        <v>27962</v>
      </c>
      <c r="ER30" s="1">
        <v>19822</v>
      </c>
      <c r="ES30" s="1">
        <v>21905</v>
      </c>
      <c r="ET30" s="1">
        <v>24444</v>
      </c>
      <c r="EU30" s="1">
        <v>25243</v>
      </c>
    </row>
    <row r="31" spans="1:151" x14ac:dyDescent="0.25">
      <c r="A31" t="s">
        <v>35</v>
      </c>
      <c r="B31" s="1">
        <v>5618</v>
      </c>
      <c r="C31" s="1">
        <v>5940</v>
      </c>
      <c r="D31" s="1">
        <v>6346</v>
      </c>
      <c r="E31" s="1">
        <v>6936</v>
      </c>
      <c r="F31" s="1">
        <v>7873</v>
      </c>
      <c r="G31" s="1">
        <v>8326</v>
      </c>
      <c r="H31" s="1">
        <v>8991</v>
      </c>
      <c r="I31" s="1">
        <v>9562</v>
      </c>
      <c r="J31" s="1">
        <v>10189</v>
      </c>
      <c r="K31" s="1">
        <v>10973</v>
      </c>
      <c r="L31" s="1">
        <v>11838</v>
      </c>
      <c r="M31" s="1">
        <v>12578</v>
      </c>
      <c r="N31" s="1">
        <v>13347</v>
      </c>
      <c r="O31" s="1">
        <v>14235</v>
      </c>
      <c r="P31" s="1">
        <v>15168</v>
      </c>
      <c r="Q31" s="1">
        <v>15012</v>
      </c>
      <c r="R31" s="1">
        <v>15786</v>
      </c>
      <c r="S31" s="1">
        <v>16551</v>
      </c>
      <c r="T31" s="1">
        <v>20681</v>
      </c>
      <c r="U31" s="1">
        <v>16110</v>
      </c>
      <c r="V31" s="1">
        <v>16901</v>
      </c>
      <c r="W31" s="1">
        <v>16419</v>
      </c>
      <c r="X31" s="1">
        <v>17021</v>
      </c>
      <c r="Y31" s="1">
        <v>18470</v>
      </c>
      <c r="Z31" s="1">
        <v>19844</v>
      </c>
      <c r="AA31" s="1">
        <v>1354</v>
      </c>
      <c r="AB31" s="1">
        <v>1438</v>
      </c>
      <c r="AC31" s="1">
        <v>1538</v>
      </c>
      <c r="AD31" s="1">
        <v>1584</v>
      </c>
      <c r="AE31" s="1">
        <v>1786</v>
      </c>
      <c r="AF31" s="1">
        <v>1937</v>
      </c>
      <c r="AG31" s="1">
        <v>2187</v>
      </c>
      <c r="AH31" s="1">
        <v>2361</v>
      </c>
      <c r="AI31" s="1">
        <v>2462</v>
      </c>
      <c r="AJ31" s="1">
        <v>2656</v>
      </c>
      <c r="AK31" s="1">
        <v>2798</v>
      </c>
      <c r="AL31" s="1">
        <v>3022</v>
      </c>
      <c r="AM31" s="1">
        <v>3324</v>
      </c>
      <c r="AN31" s="1">
        <v>3583</v>
      </c>
      <c r="AO31" s="1">
        <v>3902</v>
      </c>
      <c r="AP31" s="1">
        <v>3778</v>
      </c>
      <c r="AQ31" s="1">
        <v>4064</v>
      </c>
      <c r="AR31" s="1">
        <v>4524</v>
      </c>
      <c r="AS31" s="1">
        <v>6035</v>
      </c>
      <c r="AT31" s="1">
        <v>4181</v>
      </c>
      <c r="AU31" s="1">
        <v>4667</v>
      </c>
      <c r="AV31" s="1">
        <v>4469</v>
      </c>
      <c r="AW31" s="1">
        <v>4629</v>
      </c>
      <c r="AX31" s="1">
        <v>5026</v>
      </c>
      <c r="AY31" s="1">
        <v>5399</v>
      </c>
      <c r="AZ31" s="1">
        <v>1424</v>
      </c>
      <c r="BA31" s="1">
        <v>1433</v>
      </c>
      <c r="BB31" s="1">
        <v>1448</v>
      </c>
      <c r="BC31" s="1">
        <v>1582</v>
      </c>
      <c r="BD31" s="1">
        <v>1847</v>
      </c>
      <c r="BE31" s="1">
        <v>1931</v>
      </c>
      <c r="BF31" s="1">
        <v>2018</v>
      </c>
      <c r="BG31" s="1">
        <v>2209</v>
      </c>
      <c r="BH31" s="1">
        <v>2258</v>
      </c>
      <c r="BI31" s="1">
        <v>2195</v>
      </c>
      <c r="BJ31" s="1">
        <v>2231</v>
      </c>
      <c r="BK31" s="1">
        <v>2361</v>
      </c>
      <c r="BL31" s="1">
        <v>2649</v>
      </c>
      <c r="BM31" s="1">
        <v>2871</v>
      </c>
      <c r="BN31" s="1">
        <v>3005</v>
      </c>
      <c r="BO31" s="1">
        <v>2931</v>
      </c>
      <c r="BP31" s="1">
        <v>2913</v>
      </c>
      <c r="BQ31" s="1">
        <v>2978</v>
      </c>
      <c r="BR31" s="1">
        <v>3633</v>
      </c>
      <c r="BS31" s="1">
        <v>3057</v>
      </c>
      <c r="BT31" s="1">
        <v>2934</v>
      </c>
      <c r="BU31" s="1">
        <v>2837</v>
      </c>
      <c r="BV31" s="1">
        <v>2943</v>
      </c>
      <c r="BW31" s="1">
        <v>3194</v>
      </c>
      <c r="BX31" s="1">
        <v>3437</v>
      </c>
      <c r="BY31" s="1">
        <v>2166</v>
      </c>
      <c r="BZ31" s="1">
        <v>2332</v>
      </c>
      <c r="CA31" s="1">
        <v>2519</v>
      </c>
      <c r="CB31" s="1">
        <v>2796</v>
      </c>
      <c r="CC31" s="1">
        <v>3138</v>
      </c>
      <c r="CD31" s="1">
        <v>3272</v>
      </c>
      <c r="CE31" s="1">
        <v>3472</v>
      </c>
      <c r="CF31" s="1">
        <v>3553</v>
      </c>
      <c r="CG31" s="1">
        <v>3738</v>
      </c>
      <c r="CH31" s="1">
        <v>4087</v>
      </c>
      <c r="CI31" s="1">
        <v>4745</v>
      </c>
      <c r="CJ31" s="1">
        <v>5164</v>
      </c>
      <c r="CK31" s="1">
        <v>5455</v>
      </c>
      <c r="CL31" s="1">
        <v>5874</v>
      </c>
      <c r="CM31" s="1">
        <v>6005</v>
      </c>
      <c r="CN31" s="1">
        <v>6029</v>
      </c>
      <c r="CO31" s="1">
        <v>6231</v>
      </c>
      <c r="CP31" s="1">
        <v>6376</v>
      </c>
      <c r="CQ31" s="1">
        <v>7589</v>
      </c>
      <c r="CR31" s="1">
        <v>6191</v>
      </c>
      <c r="CS31" s="1">
        <v>6098</v>
      </c>
      <c r="CT31" s="1">
        <v>5573</v>
      </c>
      <c r="CU31" s="1">
        <v>5781</v>
      </c>
      <c r="CV31" s="1">
        <v>6278</v>
      </c>
      <c r="CW31" s="1">
        <v>6732</v>
      </c>
      <c r="CX31">
        <v>613</v>
      </c>
      <c r="CY31">
        <v>649</v>
      </c>
      <c r="CZ31">
        <v>758</v>
      </c>
      <c r="DA31">
        <v>887</v>
      </c>
      <c r="DB31" s="1">
        <v>1016</v>
      </c>
      <c r="DC31" s="1">
        <v>1077</v>
      </c>
      <c r="DD31" s="1">
        <v>1201</v>
      </c>
      <c r="DE31" s="1">
        <v>1305</v>
      </c>
      <c r="DF31" s="1">
        <v>1547</v>
      </c>
      <c r="DG31" s="1">
        <v>1810</v>
      </c>
      <c r="DH31" s="1">
        <v>1853</v>
      </c>
      <c r="DI31" s="1">
        <v>1845</v>
      </c>
      <c r="DJ31" s="1">
        <v>1678</v>
      </c>
      <c r="DK31" s="1">
        <v>1679</v>
      </c>
      <c r="DL31" s="1">
        <v>1960</v>
      </c>
      <c r="DM31" s="1">
        <v>2104</v>
      </c>
      <c r="DN31" s="1">
        <v>2384</v>
      </c>
      <c r="DO31" s="1">
        <v>2409</v>
      </c>
      <c r="DP31" s="1">
        <v>2942</v>
      </c>
      <c r="DQ31" s="1">
        <v>2474</v>
      </c>
      <c r="DR31" s="1">
        <v>3027</v>
      </c>
      <c r="DS31" s="1">
        <v>3218</v>
      </c>
      <c r="DT31" s="1">
        <v>3339</v>
      </c>
      <c r="DU31" s="1">
        <v>3621</v>
      </c>
      <c r="DV31" s="1">
        <v>3895</v>
      </c>
      <c r="DW31">
        <v>61</v>
      </c>
      <c r="DX31">
        <v>88</v>
      </c>
      <c r="DY31">
        <v>83</v>
      </c>
      <c r="DZ31">
        <v>87</v>
      </c>
      <c r="EA31">
        <v>86</v>
      </c>
      <c r="EB31">
        <v>109</v>
      </c>
      <c r="EC31">
        <v>113</v>
      </c>
      <c r="ED31">
        <v>134</v>
      </c>
      <c r="EE31">
        <v>184</v>
      </c>
      <c r="EF31">
        <v>225</v>
      </c>
      <c r="EG31">
        <v>211</v>
      </c>
      <c r="EH31">
        <v>186</v>
      </c>
      <c r="EI31">
        <v>241</v>
      </c>
      <c r="EJ31">
        <v>228</v>
      </c>
      <c r="EK31">
        <v>296</v>
      </c>
      <c r="EL31">
        <v>170</v>
      </c>
      <c r="EM31">
        <v>194</v>
      </c>
      <c r="EN31">
        <v>264</v>
      </c>
      <c r="EO31">
        <v>482</v>
      </c>
      <c r="EP31">
        <v>207</v>
      </c>
      <c r="EQ31">
        <v>175</v>
      </c>
      <c r="ER31">
        <v>323</v>
      </c>
      <c r="ES31">
        <v>329</v>
      </c>
      <c r="ET31">
        <v>351</v>
      </c>
      <c r="EU31">
        <v>379</v>
      </c>
    </row>
    <row r="32" spans="1:151" x14ac:dyDescent="0.25">
      <c r="A32" t="s">
        <v>36</v>
      </c>
      <c r="B32" s="1">
        <v>40467</v>
      </c>
      <c r="C32" s="1">
        <v>43435</v>
      </c>
      <c r="D32" s="1">
        <v>45449</v>
      </c>
      <c r="E32" s="1">
        <v>47042</v>
      </c>
      <c r="F32" s="1">
        <v>48631</v>
      </c>
      <c r="G32" s="1">
        <v>50961</v>
      </c>
      <c r="H32" s="1">
        <v>54283</v>
      </c>
      <c r="I32" s="1">
        <v>57591</v>
      </c>
      <c r="J32" s="1">
        <v>61374</v>
      </c>
      <c r="K32" s="1">
        <v>64439</v>
      </c>
      <c r="L32" s="1">
        <v>64620</v>
      </c>
      <c r="M32" s="1">
        <v>67606</v>
      </c>
      <c r="N32" s="1">
        <v>70736</v>
      </c>
      <c r="O32" s="1">
        <v>74115</v>
      </c>
      <c r="P32" s="1">
        <v>77153</v>
      </c>
      <c r="Q32" s="1">
        <v>80380</v>
      </c>
      <c r="R32" s="1">
        <v>83572</v>
      </c>
      <c r="S32" s="1">
        <v>85392</v>
      </c>
      <c r="T32" s="1">
        <v>86508</v>
      </c>
      <c r="U32" s="1">
        <v>96227</v>
      </c>
      <c r="V32" s="1">
        <v>100433</v>
      </c>
      <c r="W32" s="1">
        <v>68772</v>
      </c>
      <c r="X32" s="1">
        <v>79834</v>
      </c>
      <c r="Y32" s="1">
        <v>104832</v>
      </c>
      <c r="Z32" s="1">
        <v>116408</v>
      </c>
      <c r="AA32" s="1">
        <v>10196</v>
      </c>
      <c r="AB32" s="1">
        <v>10861</v>
      </c>
      <c r="AC32" s="1">
        <v>11320</v>
      </c>
      <c r="AD32" s="1">
        <v>11249</v>
      </c>
      <c r="AE32" s="1">
        <v>11256</v>
      </c>
      <c r="AF32" s="1">
        <v>11482</v>
      </c>
      <c r="AG32" s="1">
        <v>12603</v>
      </c>
      <c r="AH32" s="1">
        <v>13299</v>
      </c>
      <c r="AI32" s="1">
        <v>14459</v>
      </c>
      <c r="AJ32" s="1">
        <v>15162</v>
      </c>
      <c r="AK32" s="1">
        <v>14802</v>
      </c>
      <c r="AL32" s="1">
        <v>14847</v>
      </c>
      <c r="AM32" s="1">
        <v>15020</v>
      </c>
      <c r="AN32" s="1">
        <v>15326</v>
      </c>
      <c r="AO32" s="1">
        <v>15362</v>
      </c>
      <c r="AP32" s="1">
        <v>14832</v>
      </c>
      <c r="AQ32" s="1">
        <v>15319</v>
      </c>
      <c r="AR32" s="1">
        <v>15823</v>
      </c>
      <c r="AS32" s="1">
        <v>16179</v>
      </c>
      <c r="AT32" s="1">
        <v>17608</v>
      </c>
      <c r="AU32" s="1">
        <v>16051</v>
      </c>
      <c r="AV32" s="1">
        <v>10933</v>
      </c>
      <c r="AW32" s="1">
        <v>12734</v>
      </c>
      <c r="AX32" s="1">
        <v>16627</v>
      </c>
      <c r="AY32" s="1">
        <v>18456</v>
      </c>
      <c r="AZ32" s="1">
        <v>11332</v>
      </c>
      <c r="BA32" s="1">
        <v>11481</v>
      </c>
      <c r="BB32" s="1">
        <v>11963</v>
      </c>
      <c r="BC32" s="1">
        <v>12118</v>
      </c>
      <c r="BD32" s="1">
        <v>12352</v>
      </c>
      <c r="BE32" s="1">
        <v>12290</v>
      </c>
      <c r="BF32" s="1">
        <v>12371</v>
      </c>
      <c r="BG32" s="1">
        <v>13185</v>
      </c>
      <c r="BH32" s="1">
        <v>13657</v>
      </c>
      <c r="BI32" s="1">
        <v>14067</v>
      </c>
      <c r="BJ32" s="1">
        <v>13507</v>
      </c>
      <c r="BK32" s="1">
        <v>14085</v>
      </c>
      <c r="BL32" s="1">
        <v>13968</v>
      </c>
      <c r="BM32" s="1">
        <v>15465</v>
      </c>
      <c r="BN32" s="1">
        <v>16336</v>
      </c>
      <c r="BO32" s="1">
        <v>16691</v>
      </c>
      <c r="BP32" s="1">
        <v>17539</v>
      </c>
      <c r="BQ32" s="1">
        <v>17378</v>
      </c>
      <c r="BR32" s="1">
        <v>18165</v>
      </c>
      <c r="BS32" s="1">
        <v>19495</v>
      </c>
      <c r="BT32" s="1">
        <v>19272</v>
      </c>
      <c r="BU32" s="1">
        <v>13539</v>
      </c>
      <c r="BV32" s="1">
        <v>15717</v>
      </c>
      <c r="BW32" s="1">
        <v>20624</v>
      </c>
      <c r="BX32" s="1">
        <v>22912</v>
      </c>
      <c r="BY32" s="1">
        <v>9781</v>
      </c>
      <c r="BZ32" s="1">
        <v>11037</v>
      </c>
      <c r="CA32" s="1">
        <v>11802</v>
      </c>
      <c r="CB32" s="1">
        <v>12518</v>
      </c>
      <c r="CC32" s="1">
        <v>13032</v>
      </c>
      <c r="CD32" s="1">
        <v>13738</v>
      </c>
      <c r="CE32" s="1">
        <v>14471</v>
      </c>
      <c r="CF32" s="1">
        <v>15234</v>
      </c>
      <c r="CG32" s="1">
        <v>16240</v>
      </c>
      <c r="CH32" s="1">
        <v>16800</v>
      </c>
      <c r="CI32" s="1">
        <v>16631</v>
      </c>
      <c r="CJ32" s="1">
        <v>17201</v>
      </c>
      <c r="CK32" s="1">
        <v>17904</v>
      </c>
      <c r="CL32" s="1">
        <v>18082</v>
      </c>
      <c r="CM32" s="1">
        <v>18338</v>
      </c>
      <c r="CN32" s="1">
        <v>19382</v>
      </c>
      <c r="CO32" s="1">
        <v>19580</v>
      </c>
      <c r="CP32" s="1">
        <v>20670</v>
      </c>
      <c r="CQ32" s="1">
        <v>20736</v>
      </c>
      <c r="CR32" s="1">
        <v>22614</v>
      </c>
      <c r="CS32" s="1">
        <v>21874</v>
      </c>
      <c r="CT32" s="1">
        <v>16149</v>
      </c>
      <c r="CU32" s="1">
        <v>18748</v>
      </c>
      <c r="CV32" s="1">
        <v>24637</v>
      </c>
      <c r="CW32" s="1">
        <v>27374</v>
      </c>
      <c r="CX32" s="1">
        <v>5213</v>
      </c>
      <c r="CY32" s="1">
        <v>5676</v>
      </c>
      <c r="CZ32" s="1">
        <v>5934</v>
      </c>
      <c r="DA32" s="1">
        <v>6340</v>
      </c>
      <c r="DB32" s="1">
        <v>7093</v>
      </c>
      <c r="DC32" s="1">
        <v>8143</v>
      </c>
      <c r="DD32" s="1">
        <v>9153</v>
      </c>
      <c r="DE32" s="1">
        <v>9693</v>
      </c>
      <c r="DF32" s="1">
        <v>10531</v>
      </c>
      <c r="DG32" s="1">
        <v>11032</v>
      </c>
      <c r="DH32" s="1">
        <v>11741</v>
      </c>
      <c r="DI32" s="1">
        <v>12360</v>
      </c>
      <c r="DJ32" s="1">
        <v>13234</v>
      </c>
      <c r="DK32" s="1">
        <v>14121</v>
      </c>
      <c r="DL32" s="1">
        <v>15220</v>
      </c>
      <c r="DM32" s="1">
        <v>16742</v>
      </c>
      <c r="DN32" s="1">
        <v>17188</v>
      </c>
      <c r="DO32" s="1">
        <v>17456</v>
      </c>
      <c r="DP32" s="1">
        <v>17533</v>
      </c>
      <c r="DQ32" s="1">
        <v>19926</v>
      </c>
      <c r="DR32" s="1">
        <v>24516</v>
      </c>
      <c r="DS32" s="1">
        <v>15593</v>
      </c>
      <c r="DT32" s="1">
        <v>18076</v>
      </c>
      <c r="DU32" s="1">
        <v>23807</v>
      </c>
      <c r="DV32" s="1">
        <v>26424</v>
      </c>
      <c r="DW32" s="1">
        <v>3945</v>
      </c>
      <c r="DX32" s="1">
        <v>4380</v>
      </c>
      <c r="DY32" s="1">
        <v>4430</v>
      </c>
      <c r="DZ32" s="1">
        <v>4817</v>
      </c>
      <c r="EA32" s="1">
        <v>4898</v>
      </c>
      <c r="EB32" s="1">
        <v>5308</v>
      </c>
      <c r="EC32" s="1">
        <v>5685</v>
      </c>
      <c r="ED32" s="1">
        <v>6180</v>
      </c>
      <c r="EE32" s="1">
        <v>6487</v>
      </c>
      <c r="EF32" s="1">
        <v>7378</v>
      </c>
      <c r="EG32" s="1">
        <v>7939</v>
      </c>
      <c r="EH32" s="1">
        <v>9113</v>
      </c>
      <c r="EI32" s="1">
        <v>10610</v>
      </c>
      <c r="EJ32" s="1">
        <v>11121</v>
      </c>
      <c r="EK32" s="1">
        <v>11897</v>
      </c>
      <c r="EL32" s="1">
        <v>12733</v>
      </c>
      <c r="EM32" s="1">
        <v>13946</v>
      </c>
      <c r="EN32" s="1">
        <v>14065</v>
      </c>
      <c r="EO32" s="1">
        <v>13895</v>
      </c>
      <c r="EP32" s="1">
        <v>16584</v>
      </c>
      <c r="EQ32" s="1">
        <v>18720</v>
      </c>
      <c r="ER32" s="1">
        <v>12559</v>
      </c>
      <c r="ES32" s="1">
        <v>14557</v>
      </c>
      <c r="ET32" s="1">
        <v>19137</v>
      </c>
      <c r="EU32" s="1">
        <v>21243</v>
      </c>
    </row>
    <row r="33" spans="1:151" x14ac:dyDescent="0.25">
      <c r="A33" t="s">
        <v>37</v>
      </c>
      <c r="B33" s="1">
        <v>47414</v>
      </c>
      <c r="C33" s="1">
        <v>50718</v>
      </c>
      <c r="D33" s="1">
        <v>51954</v>
      </c>
      <c r="E33" s="1">
        <v>55832</v>
      </c>
      <c r="F33" s="1">
        <v>57839</v>
      </c>
      <c r="G33" s="1">
        <v>62240</v>
      </c>
      <c r="H33" s="1">
        <v>66978</v>
      </c>
      <c r="I33" s="1">
        <v>71411</v>
      </c>
      <c r="J33" s="1">
        <v>77358</v>
      </c>
      <c r="K33" s="1">
        <v>78026</v>
      </c>
      <c r="L33" s="1">
        <v>74669</v>
      </c>
      <c r="M33" s="1">
        <v>80704</v>
      </c>
      <c r="N33" s="1">
        <v>84381</v>
      </c>
      <c r="O33" s="1">
        <v>84478</v>
      </c>
      <c r="P33" s="1">
        <v>88828</v>
      </c>
      <c r="Q33" s="1">
        <v>94556</v>
      </c>
      <c r="R33" s="1">
        <v>98811</v>
      </c>
      <c r="S33" s="1">
        <v>101962</v>
      </c>
      <c r="T33" s="1">
        <v>108202</v>
      </c>
      <c r="U33" s="1">
        <v>103247</v>
      </c>
      <c r="V33" s="1">
        <v>106804</v>
      </c>
      <c r="W33" s="1">
        <v>109682</v>
      </c>
      <c r="X33" s="1">
        <v>119130</v>
      </c>
      <c r="Y33" s="1">
        <v>123259</v>
      </c>
      <c r="Z33" s="1">
        <v>121084</v>
      </c>
      <c r="AA33" s="1">
        <v>7567</v>
      </c>
      <c r="AB33" s="1">
        <v>8379</v>
      </c>
      <c r="AC33" s="1">
        <v>8621</v>
      </c>
      <c r="AD33" s="1">
        <v>8932</v>
      </c>
      <c r="AE33" s="1">
        <v>9032</v>
      </c>
      <c r="AF33" s="1">
        <v>9942</v>
      </c>
      <c r="AG33" s="1">
        <v>10392</v>
      </c>
      <c r="AH33" s="1">
        <v>11342</v>
      </c>
      <c r="AI33" s="1">
        <v>12212</v>
      </c>
      <c r="AJ33" s="1">
        <v>11947</v>
      </c>
      <c r="AK33" s="1">
        <v>11447</v>
      </c>
      <c r="AL33" s="1">
        <v>11691</v>
      </c>
      <c r="AM33" s="1">
        <v>11865</v>
      </c>
      <c r="AN33" s="1">
        <v>11425</v>
      </c>
      <c r="AO33" s="1">
        <v>11809</v>
      </c>
      <c r="AP33" s="1">
        <v>12372</v>
      </c>
      <c r="AQ33" s="1">
        <v>12468</v>
      </c>
      <c r="AR33" s="1">
        <v>13590</v>
      </c>
      <c r="AS33" s="1">
        <v>14543</v>
      </c>
      <c r="AT33" s="1">
        <v>13878</v>
      </c>
      <c r="AU33" s="1">
        <v>16146</v>
      </c>
      <c r="AV33" s="1">
        <v>18472</v>
      </c>
      <c r="AW33" s="1">
        <v>19758</v>
      </c>
      <c r="AX33" s="1">
        <v>20448</v>
      </c>
      <c r="AY33" s="1">
        <v>20064</v>
      </c>
      <c r="AZ33" s="1">
        <v>12644</v>
      </c>
      <c r="BA33" s="1">
        <v>13124</v>
      </c>
      <c r="BB33" s="1">
        <v>13085</v>
      </c>
      <c r="BC33" s="1">
        <v>13592</v>
      </c>
      <c r="BD33" s="1">
        <v>13760</v>
      </c>
      <c r="BE33" s="1">
        <v>14308</v>
      </c>
      <c r="BF33" s="1">
        <v>15483</v>
      </c>
      <c r="BG33" s="1">
        <v>16541</v>
      </c>
      <c r="BH33" s="1">
        <v>17531</v>
      </c>
      <c r="BI33" s="1">
        <v>17480</v>
      </c>
      <c r="BJ33" s="1">
        <v>15599</v>
      </c>
      <c r="BK33" s="1">
        <v>15612</v>
      </c>
      <c r="BL33" s="1">
        <v>16044</v>
      </c>
      <c r="BM33" s="1">
        <v>15910</v>
      </c>
      <c r="BN33" s="1">
        <v>16314</v>
      </c>
      <c r="BO33" s="1">
        <v>16703</v>
      </c>
      <c r="BP33" s="1">
        <v>16664</v>
      </c>
      <c r="BQ33" s="1">
        <v>16546</v>
      </c>
      <c r="BR33" s="1">
        <v>17211</v>
      </c>
      <c r="BS33" s="1">
        <v>16743</v>
      </c>
      <c r="BT33" s="1">
        <v>17804</v>
      </c>
      <c r="BU33" s="1">
        <v>19278</v>
      </c>
      <c r="BV33" s="1">
        <v>21008</v>
      </c>
      <c r="BW33" s="1">
        <v>21720</v>
      </c>
      <c r="BX33" s="1">
        <v>21327</v>
      </c>
      <c r="BY33" s="1">
        <v>13179</v>
      </c>
      <c r="BZ33" s="1">
        <v>13570</v>
      </c>
      <c r="CA33" s="1">
        <v>13729</v>
      </c>
      <c r="CB33" s="1">
        <v>15023</v>
      </c>
      <c r="CC33" s="1">
        <v>15976</v>
      </c>
      <c r="CD33" s="1">
        <v>17570</v>
      </c>
      <c r="CE33" s="1">
        <v>19156</v>
      </c>
      <c r="CF33" s="1">
        <v>20082</v>
      </c>
      <c r="CG33" s="1">
        <v>22033</v>
      </c>
      <c r="CH33" s="1">
        <v>22640</v>
      </c>
      <c r="CI33" s="1">
        <v>21202</v>
      </c>
      <c r="CJ33" s="1">
        <v>21810</v>
      </c>
      <c r="CK33" s="1">
        <v>22199</v>
      </c>
      <c r="CL33" s="1">
        <v>21642</v>
      </c>
      <c r="CM33" s="1">
        <v>22696</v>
      </c>
      <c r="CN33" s="1">
        <v>22487</v>
      </c>
      <c r="CO33" s="1">
        <v>22061</v>
      </c>
      <c r="CP33" s="1">
        <v>21670</v>
      </c>
      <c r="CQ33" s="1">
        <v>22114</v>
      </c>
      <c r="CR33" s="1">
        <v>21034</v>
      </c>
      <c r="CS33" s="1">
        <v>21984</v>
      </c>
      <c r="CT33" s="1">
        <v>22158</v>
      </c>
      <c r="CU33" s="1">
        <v>24838</v>
      </c>
      <c r="CV33" s="1">
        <v>25628</v>
      </c>
      <c r="CW33" s="1">
        <v>25174</v>
      </c>
      <c r="CX33" s="1">
        <v>7737</v>
      </c>
      <c r="CY33" s="1">
        <v>8521</v>
      </c>
      <c r="CZ33" s="1">
        <v>9326</v>
      </c>
      <c r="DA33" s="1">
        <v>10361</v>
      </c>
      <c r="DB33" s="1">
        <v>10978</v>
      </c>
      <c r="DC33" s="1">
        <v>11323</v>
      </c>
      <c r="DD33" s="1">
        <v>12228</v>
      </c>
      <c r="DE33" s="1">
        <v>13226</v>
      </c>
      <c r="DF33" s="1">
        <v>14143</v>
      </c>
      <c r="DG33" s="1">
        <v>14941</v>
      </c>
      <c r="DH33" s="1">
        <v>15416</v>
      </c>
      <c r="DI33" s="1">
        <v>17719</v>
      </c>
      <c r="DJ33" s="1">
        <v>18487</v>
      </c>
      <c r="DK33" s="1">
        <v>18486</v>
      </c>
      <c r="DL33" s="1">
        <v>20469</v>
      </c>
      <c r="DM33" s="1">
        <v>22890</v>
      </c>
      <c r="DN33" s="1">
        <v>23614</v>
      </c>
      <c r="DO33" s="1">
        <v>24300</v>
      </c>
      <c r="DP33" s="1">
        <v>25266</v>
      </c>
      <c r="DQ33" s="1">
        <v>24113</v>
      </c>
      <c r="DR33" s="1">
        <v>23948</v>
      </c>
      <c r="DS33" s="1">
        <v>22866</v>
      </c>
      <c r="DT33" s="1">
        <v>24122</v>
      </c>
      <c r="DU33" s="1">
        <v>25027</v>
      </c>
      <c r="DV33" s="1">
        <v>24574</v>
      </c>
      <c r="DW33" s="1">
        <v>6287</v>
      </c>
      <c r="DX33" s="1">
        <v>7124</v>
      </c>
      <c r="DY33" s="1">
        <v>7193</v>
      </c>
      <c r="DZ33" s="1">
        <v>7924</v>
      </c>
      <c r="EA33" s="1">
        <v>8093</v>
      </c>
      <c r="EB33" s="1">
        <v>9097</v>
      </c>
      <c r="EC33" s="1">
        <v>9719</v>
      </c>
      <c r="ED33" s="1">
        <v>10220</v>
      </c>
      <c r="EE33" s="1">
        <v>11439</v>
      </c>
      <c r="EF33" s="1">
        <v>11018</v>
      </c>
      <c r="EG33" s="1">
        <v>11005</v>
      </c>
      <c r="EH33" s="1">
        <v>13872</v>
      </c>
      <c r="EI33" s="1">
        <v>15786</v>
      </c>
      <c r="EJ33" s="1">
        <v>17015</v>
      </c>
      <c r="EK33" s="1">
        <v>17540</v>
      </c>
      <c r="EL33" s="1">
        <v>20104</v>
      </c>
      <c r="EM33" s="1">
        <v>24004</v>
      </c>
      <c r="EN33" s="1">
        <v>25856</v>
      </c>
      <c r="EO33" s="1">
        <v>29068</v>
      </c>
      <c r="EP33" s="1">
        <v>27479</v>
      </c>
      <c r="EQ33" s="1">
        <v>26922</v>
      </c>
      <c r="ER33" s="1">
        <v>26909</v>
      </c>
      <c r="ES33" s="1">
        <v>29404</v>
      </c>
      <c r="ET33" s="1">
        <v>30438</v>
      </c>
      <c r="EU33" s="1">
        <v>29944</v>
      </c>
    </row>
    <row r="34" spans="1:151" x14ac:dyDescent="0.25">
      <c r="A34" t="s">
        <v>38</v>
      </c>
      <c r="B34" s="1">
        <v>28348</v>
      </c>
      <c r="C34" s="1">
        <v>29699</v>
      </c>
      <c r="D34" s="1">
        <v>31176</v>
      </c>
      <c r="E34" s="1">
        <v>33029</v>
      </c>
      <c r="F34" s="1">
        <v>34480</v>
      </c>
      <c r="G34" s="1">
        <v>36355</v>
      </c>
      <c r="H34" s="1">
        <v>38239</v>
      </c>
      <c r="I34" s="1">
        <v>40455</v>
      </c>
      <c r="J34" s="1">
        <v>42797</v>
      </c>
      <c r="K34" s="1">
        <v>44893</v>
      </c>
      <c r="L34" s="1">
        <v>46186</v>
      </c>
      <c r="M34" s="1">
        <v>48324</v>
      </c>
      <c r="N34" s="1">
        <v>50429</v>
      </c>
      <c r="O34" s="1">
        <v>52411</v>
      </c>
      <c r="P34" s="1">
        <v>53969</v>
      </c>
      <c r="Q34" s="1">
        <v>56395</v>
      </c>
      <c r="R34" s="1">
        <v>58596</v>
      </c>
      <c r="S34" s="1">
        <v>60457</v>
      </c>
      <c r="T34" s="1">
        <v>63024</v>
      </c>
      <c r="U34" s="1">
        <v>66095</v>
      </c>
      <c r="V34" s="1">
        <v>69133</v>
      </c>
      <c r="W34" s="1">
        <v>63357</v>
      </c>
      <c r="X34" s="1">
        <v>68690</v>
      </c>
      <c r="Y34" s="1">
        <v>77093</v>
      </c>
      <c r="Z34" s="1">
        <v>81230</v>
      </c>
      <c r="AA34" s="1">
        <v>5779</v>
      </c>
      <c r="AB34" s="1">
        <v>5928</v>
      </c>
      <c r="AC34" s="1">
        <v>6279</v>
      </c>
      <c r="AD34" s="1">
        <v>6721</v>
      </c>
      <c r="AE34" s="1">
        <v>6669</v>
      </c>
      <c r="AF34" s="1">
        <v>6684</v>
      </c>
      <c r="AG34" s="1">
        <v>6969</v>
      </c>
      <c r="AH34" s="1">
        <v>7269</v>
      </c>
      <c r="AI34" s="1">
        <v>7616</v>
      </c>
      <c r="AJ34" s="1">
        <v>7749</v>
      </c>
      <c r="AK34" s="1">
        <v>7719</v>
      </c>
      <c r="AL34" s="1">
        <v>7883</v>
      </c>
      <c r="AM34" s="1">
        <v>8255</v>
      </c>
      <c r="AN34" s="1">
        <v>8555</v>
      </c>
      <c r="AO34" s="1">
        <v>9057</v>
      </c>
      <c r="AP34" s="1">
        <v>9487</v>
      </c>
      <c r="AQ34" s="1">
        <v>9707</v>
      </c>
      <c r="AR34" s="1">
        <v>10086</v>
      </c>
      <c r="AS34" s="1">
        <v>10305</v>
      </c>
      <c r="AT34" s="1">
        <v>10910</v>
      </c>
      <c r="AU34" s="1">
        <v>12415</v>
      </c>
      <c r="AV34" s="1">
        <v>11412</v>
      </c>
      <c r="AW34" s="1">
        <v>12371</v>
      </c>
      <c r="AX34" s="1">
        <v>13923</v>
      </c>
      <c r="AY34" s="1">
        <v>14457</v>
      </c>
      <c r="AZ34" s="1">
        <v>7777</v>
      </c>
      <c r="BA34" s="1">
        <v>8084</v>
      </c>
      <c r="BB34" s="1">
        <v>8428</v>
      </c>
      <c r="BC34" s="1">
        <v>8920</v>
      </c>
      <c r="BD34" s="1">
        <v>9211</v>
      </c>
      <c r="BE34" s="1">
        <v>9428</v>
      </c>
      <c r="BF34" s="1">
        <v>9713</v>
      </c>
      <c r="BG34" s="1">
        <v>10201</v>
      </c>
      <c r="BH34" s="1">
        <v>10408</v>
      </c>
      <c r="BI34" s="1">
        <v>10644</v>
      </c>
      <c r="BJ34" s="1">
        <v>10465</v>
      </c>
      <c r="BK34" s="1">
        <v>10540</v>
      </c>
      <c r="BL34" s="1">
        <v>10867</v>
      </c>
      <c r="BM34" s="1">
        <v>11395</v>
      </c>
      <c r="BN34" s="1">
        <v>11486</v>
      </c>
      <c r="BO34" s="1">
        <v>11975</v>
      </c>
      <c r="BP34" s="1">
        <v>12746</v>
      </c>
      <c r="BQ34" s="1">
        <v>13756</v>
      </c>
      <c r="BR34" s="1">
        <v>14479</v>
      </c>
      <c r="BS34" s="1">
        <v>14987</v>
      </c>
      <c r="BT34" s="1">
        <v>14293</v>
      </c>
      <c r="BU34" s="1">
        <v>13039</v>
      </c>
      <c r="BV34" s="1">
        <v>14144</v>
      </c>
      <c r="BW34" s="1">
        <v>15878</v>
      </c>
      <c r="BX34" s="1">
        <v>16885</v>
      </c>
      <c r="BY34" s="1">
        <v>5955</v>
      </c>
      <c r="BZ34" s="1">
        <v>6170</v>
      </c>
      <c r="CA34" s="1">
        <v>6473</v>
      </c>
      <c r="CB34" s="1">
        <v>7042</v>
      </c>
      <c r="CC34" s="1">
        <v>7647</v>
      </c>
      <c r="CD34" s="1">
        <v>8279</v>
      </c>
      <c r="CE34" s="1">
        <v>8808</v>
      </c>
      <c r="CF34" s="1">
        <v>9346</v>
      </c>
      <c r="CG34" s="1">
        <v>9849</v>
      </c>
      <c r="CH34" s="1">
        <v>10298</v>
      </c>
      <c r="CI34" s="1">
        <v>10294</v>
      </c>
      <c r="CJ34" s="1">
        <v>10677</v>
      </c>
      <c r="CK34" s="1">
        <v>11014</v>
      </c>
      <c r="CL34" s="1">
        <v>10604</v>
      </c>
      <c r="CM34" s="1">
        <v>10942</v>
      </c>
      <c r="CN34" s="1">
        <v>11055</v>
      </c>
      <c r="CO34" s="1">
        <v>10634</v>
      </c>
      <c r="CP34" s="1">
        <v>10718</v>
      </c>
      <c r="CQ34" s="1">
        <v>11029</v>
      </c>
      <c r="CR34" s="1">
        <v>11817</v>
      </c>
      <c r="CS34" s="1">
        <v>11357</v>
      </c>
      <c r="CT34" s="1">
        <v>10383</v>
      </c>
      <c r="CU34" s="1">
        <v>11256</v>
      </c>
      <c r="CV34" s="1">
        <v>12683</v>
      </c>
      <c r="CW34" s="1">
        <v>13371</v>
      </c>
      <c r="CX34" s="1">
        <v>3316</v>
      </c>
      <c r="CY34" s="1">
        <v>3357</v>
      </c>
      <c r="CZ34" s="1">
        <v>3507</v>
      </c>
      <c r="DA34" s="1">
        <v>3822</v>
      </c>
      <c r="DB34" s="1">
        <v>4218</v>
      </c>
      <c r="DC34" s="1">
        <v>4803</v>
      </c>
      <c r="DD34" s="1">
        <v>5045</v>
      </c>
      <c r="DE34" s="1">
        <v>5678</v>
      </c>
      <c r="DF34" s="1">
        <v>6217</v>
      </c>
      <c r="DG34" s="1">
        <v>6478</v>
      </c>
      <c r="DH34" s="1">
        <v>6780</v>
      </c>
      <c r="DI34" s="1">
        <v>7234</v>
      </c>
      <c r="DJ34" s="1">
        <v>7729</v>
      </c>
      <c r="DK34" s="1">
        <v>7794</v>
      </c>
      <c r="DL34" s="1">
        <v>7753</v>
      </c>
      <c r="DM34" s="1">
        <v>8344</v>
      </c>
      <c r="DN34" s="1">
        <v>8967</v>
      </c>
      <c r="DO34" s="1">
        <v>8945</v>
      </c>
      <c r="DP34" s="1">
        <v>9403</v>
      </c>
      <c r="DQ34" s="1">
        <v>9671</v>
      </c>
      <c r="DR34" s="1">
        <v>11456</v>
      </c>
      <c r="DS34" s="1">
        <v>9802</v>
      </c>
      <c r="DT34" s="1">
        <v>10634</v>
      </c>
      <c r="DU34" s="1">
        <v>11986</v>
      </c>
      <c r="DV34" s="1">
        <v>12602</v>
      </c>
      <c r="DW34" s="1">
        <v>5521</v>
      </c>
      <c r="DX34" s="1">
        <v>6160</v>
      </c>
      <c r="DY34" s="1">
        <v>6489</v>
      </c>
      <c r="DZ34" s="1">
        <v>6524</v>
      </c>
      <c r="EA34" s="1">
        <v>6735</v>
      </c>
      <c r="EB34" s="1">
        <v>7161</v>
      </c>
      <c r="EC34" s="1">
        <v>7704</v>
      </c>
      <c r="ED34" s="1">
        <v>7961</v>
      </c>
      <c r="EE34" s="1">
        <v>8707</v>
      </c>
      <c r="EF34" s="1">
        <v>9724</v>
      </c>
      <c r="EG34" s="1">
        <v>10928</v>
      </c>
      <c r="EH34" s="1">
        <v>11990</v>
      </c>
      <c r="EI34" s="1">
        <v>12564</v>
      </c>
      <c r="EJ34" s="1">
        <v>14063</v>
      </c>
      <c r="EK34" s="1">
        <v>14731</v>
      </c>
      <c r="EL34" s="1">
        <v>15534</v>
      </c>
      <c r="EM34" s="1">
        <v>16542</v>
      </c>
      <c r="EN34" s="1">
        <v>16952</v>
      </c>
      <c r="EO34" s="1">
        <v>17808</v>
      </c>
      <c r="EP34" s="1">
        <v>18710</v>
      </c>
      <c r="EQ34" s="1">
        <v>19612</v>
      </c>
      <c r="ER34" s="1">
        <v>18720</v>
      </c>
      <c r="ES34" s="1">
        <v>20285</v>
      </c>
      <c r="ET34" s="1">
        <v>22623</v>
      </c>
      <c r="EU34" s="1">
        <v>23917</v>
      </c>
    </row>
    <row r="35" spans="1:151" x14ac:dyDescent="0.25">
      <c r="A35" t="s">
        <v>39</v>
      </c>
      <c r="B35" s="1">
        <v>32055</v>
      </c>
      <c r="C35" s="1">
        <v>37946</v>
      </c>
      <c r="D35" s="1">
        <v>29643</v>
      </c>
      <c r="E35" s="1">
        <v>29444</v>
      </c>
      <c r="F35" s="1">
        <v>32376</v>
      </c>
      <c r="G35" s="1">
        <v>35213</v>
      </c>
      <c r="H35" s="1">
        <v>41620</v>
      </c>
      <c r="I35" s="1">
        <v>39979</v>
      </c>
      <c r="J35" s="1">
        <v>43385</v>
      </c>
      <c r="K35" s="1">
        <v>45397</v>
      </c>
      <c r="L35" s="1">
        <v>38057</v>
      </c>
      <c r="M35" s="1">
        <v>38076</v>
      </c>
      <c r="N35" s="1">
        <v>46937</v>
      </c>
      <c r="O35" s="1">
        <v>47452</v>
      </c>
      <c r="P35" s="1">
        <v>44876</v>
      </c>
      <c r="Q35" s="1">
        <v>46439</v>
      </c>
      <c r="R35" s="1">
        <v>43260</v>
      </c>
      <c r="S35" s="1">
        <v>43138</v>
      </c>
      <c r="T35" s="1">
        <v>43728</v>
      </c>
      <c r="U35" s="1">
        <v>43259</v>
      </c>
      <c r="V35" s="1">
        <v>47476</v>
      </c>
      <c r="W35" s="1">
        <v>39000</v>
      </c>
      <c r="X35" s="1">
        <v>42387</v>
      </c>
      <c r="Y35" s="1">
        <v>40626</v>
      </c>
      <c r="Z35" s="1">
        <v>43798</v>
      </c>
      <c r="AA35" s="1">
        <v>7996</v>
      </c>
      <c r="AB35" s="1">
        <v>8482</v>
      </c>
      <c r="AC35" s="1">
        <v>8596</v>
      </c>
      <c r="AD35" s="1">
        <v>8728</v>
      </c>
      <c r="AE35" s="1">
        <v>9405</v>
      </c>
      <c r="AF35" s="1">
        <v>10536</v>
      </c>
      <c r="AG35" s="1">
        <v>11016</v>
      </c>
      <c r="AH35" s="1">
        <v>11973</v>
      </c>
      <c r="AI35" s="1">
        <v>13107</v>
      </c>
      <c r="AJ35" s="1">
        <v>15185</v>
      </c>
      <c r="AK35" s="1">
        <v>13647</v>
      </c>
      <c r="AL35" s="1">
        <v>15284</v>
      </c>
      <c r="AM35" s="1">
        <v>16499</v>
      </c>
      <c r="AN35" s="1">
        <v>17070</v>
      </c>
      <c r="AO35" s="1">
        <v>16736</v>
      </c>
      <c r="AP35" s="1">
        <v>16702</v>
      </c>
      <c r="AQ35" s="1">
        <v>18886</v>
      </c>
      <c r="AR35" s="1">
        <v>19710</v>
      </c>
      <c r="AS35" s="1">
        <v>20346</v>
      </c>
      <c r="AT35" s="1">
        <v>21102</v>
      </c>
      <c r="AU35" s="1">
        <v>21922</v>
      </c>
      <c r="AV35" s="1">
        <v>22524</v>
      </c>
      <c r="AW35" s="1">
        <v>24596</v>
      </c>
      <c r="AX35" s="1">
        <v>24454</v>
      </c>
      <c r="AY35" s="1">
        <v>28286</v>
      </c>
      <c r="AZ35" s="1">
        <v>16145</v>
      </c>
      <c r="BA35" s="1">
        <v>16997</v>
      </c>
      <c r="BB35" s="1">
        <v>16532</v>
      </c>
      <c r="BC35" s="1">
        <v>16526</v>
      </c>
      <c r="BD35" s="1">
        <v>17277</v>
      </c>
      <c r="BE35" s="1">
        <v>19041</v>
      </c>
      <c r="BF35" s="1">
        <v>19638</v>
      </c>
      <c r="BG35" s="1">
        <v>20094</v>
      </c>
      <c r="BH35" s="1">
        <v>21075</v>
      </c>
      <c r="BI35" s="1">
        <v>22461</v>
      </c>
      <c r="BJ35" s="1">
        <v>21445</v>
      </c>
      <c r="BK35" s="1">
        <v>22492</v>
      </c>
      <c r="BL35" s="1">
        <v>25793</v>
      </c>
      <c r="BM35" s="1">
        <v>25589</v>
      </c>
      <c r="BN35" s="1">
        <v>28382</v>
      </c>
      <c r="BO35" s="1">
        <v>29568</v>
      </c>
      <c r="BP35" s="1">
        <v>29031</v>
      </c>
      <c r="BQ35" s="1">
        <v>33175</v>
      </c>
      <c r="BR35" s="1">
        <v>34022</v>
      </c>
      <c r="BS35" s="1">
        <v>35514</v>
      </c>
      <c r="BT35" s="1">
        <v>37395</v>
      </c>
      <c r="BU35" s="1">
        <v>35870</v>
      </c>
      <c r="BV35" s="1">
        <v>36673</v>
      </c>
      <c r="BW35" s="1">
        <v>37891</v>
      </c>
      <c r="BX35" s="1">
        <v>39604</v>
      </c>
      <c r="BY35" s="1">
        <v>16452</v>
      </c>
      <c r="BZ35" s="1">
        <v>17538</v>
      </c>
      <c r="CA35" s="1">
        <v>18025</v>
      </c>
      <c r="CB35" s="1">
        <v>17986</v>
      </c>
      <c r="CC35" s="1">
        <v>20278</v>
      </c>
      <c r="CD35" s="1">
        <v>21664</v>
      </c>
      <c r="CE35" s="1">
        <v>23523</v>
      </c>
      <c r="CF35" s="1">
        <v>25690</v>
      </c>
      <c r="CG35" s="1">
        <v>27173</v>
      </c>
      <c r="CH35" s="1">
        <v>27874</v>
      </c>
      <c r="CI35" s="1">
        <v>26919</v>
      </c>
      <c r="CJ35" s="1">
        <v>26946</v>
      </c>
      <c r="CK35" s="1">
        <v>29873</v>
      </c>
      <c r="CL35" s="1">
        <v>31709</v>
      </c>
      <c r="CM35" s="1">
        <v>31970</v>
      </c>
      <c r="CN35" s="1">
        <v>32544</v>
      </c>
      <c r="CO35" s="1">
        <v>33906</v>
      </c>
      <c r="CP35" s="1">
        <v>34684</v>
      </c>
      <c r="CQ35" s="1">
        <v>34345</v>
      </c>
      <c r="CR35" s="1">
        <v>34542</v>
      </c>
      <c r="CS35" s="1">
        <v>35471</v>
      </c>
      <c r="CT35" s="1">
        <v>33633</v>
      </c>
      <c r="CU35" s="1">
        <v>34905</v>
      </c>
      <c r="CV35" s="1">
        <v>36352</v>
      </c>
      <c r="CW35" s="1">
        <v>35810</v>
      </c>
      <c r="CX35">
        <v>362</v>
      </c>
      <c r="CY35" s="1">
        <v>1878</v>
      </c>
      <c r="CZ35" s="1">
        <v>-1460</v>
      </c>
      <c r="DA35" s="1">
        <v>-1438</v>
      </c>
      <c r="DB35">
        <v>-811</v>
      </c>
      <c r="DC35">
        <v>-148</v>
      </c>
      <c r="DD35" s="1">
        <v>1563</v>
      </c>
      <c r="DE35" s="1">
        <v>1148</v>
      </c>
      <c r="DF35" s="1">
        <v>2474</v>
      </c>
      <c r="DG35" s="1">
        <v>2462</v>
      </c>
      <c r="DH35" s="1">
        <v>1772</v>
      </c>
      <c r="DI35">
        <v>796</v>
      </c>
      <c r="DJ35" s="1">
        <v>3962</v>
      </c>
      <c r="DK35" s="1">
        <v>6425</v>
      </c>
      <c r="DL35" s="1">
        <v>5372</v>
      </c>
      <c r="DM35" s="1">
        <v>6904</v>
      </c>
      <c r="DN35" s="1">
        <v>8290</v>
      </c>
      <c r="DO35" s="1">
        <v>7544</v>
      </c>
      <c r="DP35" s="1">
        <v>8360</v>
      </c>
      <c r="DQ35" s="1">
        <v>8829</v>
      </c>
      <c r="DR35" s="1">
        <v>10557</v>
      </c>
      <c r="DS35" s="1">
        <v>9063</v>
      </c>
      <c r="DT35" s="1">
        <v>10919</v>
      </c>
      <c r="DU35" s="1">
        <v>10545</v>
      </c>
      <c r="DV35" s="1">
        <v>9505</v>
      </c>
      <c r="DW35" s="1">
        <v>-8900</v>
      </c>
      <c r="DX35" s="1">
        <v>-6949</v>
      </c>
      <c r="DY35" s="1">
        <v>-12050</v>
      </c>
      <c r="DZ35" s="1">
        <v>-12358</v>
      </c>
      <c r="EA35" s="1">
        <v>-13773</v>
      </c>
      <c r="EB35" s="1">
        <v>-15880</v>
      </c>
      <c r="EC35" s="1">
        <v>-14120</v>
      </c>
      <c r="ED35" s="1">
        <v>-18926</v>
      </c>
      <c r="EE35" s="1">
        <v>-20444</v>
      </c>
      <c r="EF35" s="1">
        <v>-22585</v>
      </c>
      <c r="EG35" s="1">
        <v>-25726</v>
      </c>
      <c r="EH35" s="1">
        <v>-27442</v>
      </c>
      <c r="EI35" s="1">
        <v>-29190</v>
      </c>
      <c r="EJ35" s="1">
        <v>-33341</v>
      </c>
      <c r="EK35" s="1">
        <v>-37584</v>
      </c>
      <c r="EL35" s="1">
        <v>-39279</v>
      </c>
      <c r="EM35" s="1">
        <v>-46853</v>
      </c>
      <c r="EN35" s="1">
        <v>-51975</v>
      </c>
      <c r="EO35" s="1">
        <v>-53345</v>
      </c>
      <c r="EP35" s="1">
        <v>-56728</v>
      </c>
      <c r="EQ35" s="1">
        <v>-57869</v>
      </c>
      <c r="ER35" s="1">
        <v>-62091</v>
      </c>
      <c r="ES35" s="1">
        <v>-64706</v>
      </c>
      <c r="ET35" s="1">
        <v>-68615</v>
      </c>
      <c r="EU35" s="1">
        <v>-69407</v>
      </c>
    </row>
    <row r="36" spans="1:151" x14ac:dyDescent="0.25">
      <c r="A36" t="s">
        <v>40</v>
      </c>
      <c r="B36" s="1">
        <v>24810</v>
      </c>
      <c r="C36" s="1">
        <v>28603</v>
      </c>
      <c r="D36" s="1">
        <v>29749</v>
      </c>
      <c r="E36" s="1">
        <v>20423</v>
      </c>
      <c r="F36" s="1">
        <v>14409</v>
      </c>
      <c r="G36" s="1">
        <v>17511</v>
      </c>
      <c r="H36" s="1">
        <v>10716</v>
      </c>
      <c r="I36" s="1">
        <v>20714</v>
      </c>
      <c r="J36" s="1">
        <v>17683</v>
      </c>
      <c r="K36" s="1">
        <v>29296</v>
      </c>
      <c r="L36" s="1">
        <v>41148</v>
      </c>
      <c r="M36" s="1">
        <v>39451</v>
      </c>
      <c r="N36" s="1">
        <v>41961</v>
      </c>
      <c r="O36" s="1">
        <v>50651</v>
      </c>
      <c r="P36" s="1">
        <v>53583</v>
      </c>
      <c r="Q36" s="1">
        <v>41838</v>
      </c>
      <c r="R36" s="1">
        <v>51055</v>
      </c>
      <c r="S36" s="1">
        <v>22235</v>
      </c>
      <c r="T36" s="1">
        <v>23941</v>
      </c>
      <c r="U36" s="1">
        <v>7733</v>
      </c>
      <c r="V36" s="1">
        <v>27023</v>
      </c>
      <c r="W36" s="1">
        <v>200664</v>
      </c>
      <c r="X36" s="1">
        <v>150172</v>
      </c>
      <c r="Y36" s="1">
        <v>81326</v>
      </c>
      <c r="Z36" s="1">
        <v>88537</v>
      </c>
      <c r="AA36" s="1">
        <v>4750</v>
      </c>
      <c r="AB36" s="1">
        <v>6798</v>
      </c>
      <c r="AC36" s="1">
        <v>9636</v>
      </c>
      <c r="AD36" s="1">
        <v>9893</v>
      </c>
      <c r="AE36" s="1">
        <v>7105</v>
      </c>
      <c r="AF36" s="1">
        <v>11460</v>
      </c>
      <c r="AG36" s="1">
        <v>4236</v>
      </c>
      <c r="AH36" s="1">
        <v>4571</v>
      </c>
      <c r="AI36" s="1">
        <v>3815</v>
      </c>
      <c r="AJ36" s="1">
        <v>14562</v>
      </c>
      <c r="AK36" s="1">
        <v>14184</v>
      </c>
      <c r="AL36" s="1">
        <v>18662</v>
      </c>
      <c r="AM36" s="1">
        <v>16430</v>
      </c>
      <c r="AN36" s="1">
        <v>17526</v>
      </c>
      <c r="AO36" s="1">
        <v>14120</v>
      </c>
      <c r="AP36" s="1">
        <v>11546</v>
      </c>
      <c r="AQ36" s="1">
        <v>21259</v>
      </c>
      <c r="AR36" s="1">
        <v>16499</v>
      </c>
      <c r="AS36" s="1">
        <v>18114</v>
      </c>
      <c r="AT36" s="1">
        <v>17464</v>
      </c>
      <c r="AU36" s="1">
        <v>34714</v>
      </c>
      <c r="AV36" s="1">
        <v>63523</v>
      </c>
      <c r="AW36" s="1">
        <v>60158</v>
      </c>
      <c r="AX36" s="1">
        <v>52233</v>
      </c>
      <c r="AY36" s="1">
        <v>55330</v>
      </c>
      <c r="AZ36" s="1">
        <v>18814</v>
      </c>
      <c r="BA36" s="1">
        <v>22117</v>
      </c>
      <c r="BB36" s="1">
        <v>20736</v>
      </c>
      <c r="BC36" s="1">
        <v>19246</v>
      </c>
      <c r="BD36" s="1">
        <v>15705</v>
      </c>
      <c r="BE36" s="1">
        <v>20166</v>
      </c>
      <c r="BF36" s="1">
        <v>17915</v>
      </c>
      <c r="BG36" s="1">
        <v>14129</v>
      </c>
      <c r="BH36" s="1">
        <v>15482</v>
      </c>
      <c r="BI36" s="1">
        <v>18016</v>
      </c>
      <c r="BJ36" s="1">
        <v>28554</v>
      </c>
      <c r="BK36" s="1">
        <v>27516</v>
      </c>
      <c r="BL36" s="1">
        <v>31918</v>
      </c>
      <c r="BM36" s="1">
        <v>25717</v>
      </c>
      <c r="BN36" s="1">
        <v>28601</v>
      </c>
      <c r="BO36" s="1">
        <v>32687</v>
      </c>
      <c r="BP36" s="1">
        <v>27691</v>
      </c>
      <c r="BQ36" s="1">
        <v>29036</v>
      </c>
      <c r="BR36" s="1">
        <v>32438</v>
      </c>
      <c r="BS36" s="1">
        <v>30099</v>
      </c>
      <c r="BT36" s="1">
        <v>49353</v>
      </c>
      <c r="BU36" s="1">
        <v>80561</v>
      </c>
      <c r="BV36" s="1">
        <v>72200</v>
      </c>
      <c r="BW36" s="1">
        <v>68455</v>
      </c>
      <c r="BX36" s="1">
        <v>67014</v>
      </c>
      <c r="BY36" s="1">
        <v>10890</v>
      </c>
      <c r="BZ36" s="1">
        <v>12318</v>
      </c>
      <c r="CA36" s="1">
        <v>18335</v>
      </c>
      <c r="CB36" s="1">
        <v>14388</v>
      </c>
      <c r="CC36" s="1">
        <v>16228</v>
      </c>
      <c r="CD36" s="1">
        <v>18235</v>
      </c>
      <c r="CE36" s="1">
        <v>21786</v>
      </c>
      <c r="CF36" s="1">
        <v>30791</v>
      </c>
      <c r="CG36" s="1">
        <v>27655</v>
      </c>
      <c r="CH36" s="1">
        <v>33897</v>
      </c>
      <c r="CI36" s="1">
        <v>29073</v>
      </c>
      <c r="CJ36" s="1">
        <v>29522</v>
      </c>
      <c r="CK36" s="1">
        <v>36353</v>
      </c>
      <c r="CL36" s="1">
        <v>40789</v>
      </c>
      <c r="CM36" s="1">
        <v>46862</v>
      </c>
      <c r="CN36" s="1">
        <v>41959</v>
      </c>
      <c r="CO36" s="1">
        <v>51034</v>
      </c>
      <c r="CP36" s="1">
        <v>40328</v>
      </c>
      <c r="CQ36" s="1">
        <v>37233</v>
      </c>
      <c r="CR36" s="1">
        <v>29125</v>
      </c>
      <c r="CS36" s="1">
        <v>32707</v>
      </c>
      <c r="CT36" s="1">
        <v>72885</v>
      </c>
      <c r="CU36" s="1">
        <v>61064</v>
      </c>
      <c r="CV36" s="1">
        <v>47701</v>
      </c>
      <c r="CW36" s="1">
        <v>43294</v>
      </c>
      <c r="CX36" s="1">
        <v>-5543</v>
      </c>
      <c r="CY36" s="1">
        <v>-7470</v>
      </c>
      <c r="CZ36" s="1">
        <v>-10693</v>
      </c>
      <c r="DA36" s="1">
        <v>-12576</v>
      </c>
      <c r="DB36" s="1">
        <v>-12551</v>
      </c>
      <c r="DC36" s="1">
        <v>-15986</v>
      </c>
      <c r="DD36" s="1">
        <v>-13650</v>
      </c>
      <c r="DE36" s="1">
        <v>-10817</v>
      </c>
      <c r="DF36" s="1">
        <v>-10460</v>
      </c>
      <c r="DG36" s="1">
        <v>-13768</v>
      </c>
      <c r="DH36" s="1">
        <v>-6717</v>
      </c>
      <c r="DI36" s="1">
        <v>-5582</v>
      </c>
      <c r="DJ36" s="1">
        <v>-8069</v>
      </c>
      <c r="DK36" s="1">
        <v>3213</v>
      </c>
      <c r="DL36" s="1">
        <v>2487</v>
      </c>
      <c r="DM36" s="1">
        <v>5569</v>
      </c>
      <c r="DN36" s="1">
        <v>5573</v>
      </c>
      <c r="DO36">
        <v>777</v>
      </c>
      <c r="DP36" s="1">
        <v>4105</v>
      </c>
      <c r="DQ36">
        <v>987</v>
      </c>
      <c r="DR36" s="1">
        <v>-17095</v>
      </c>
      <c r="DS36" s="1">
        <v>28311</v>
      </c>
      <c r="DT36" s="1">
        <v>20006</v>
      </c>
      <c r="DU36" s="1">
        <v>-2892</v>
      </c>
      <c r="DV36" s="1">
        <v>-7698</v>
      </c>
      <c r="DW36" s="1">
        <v>-4101</v>
      </c>
      <c r="DX36" s="1">
        <v>-5160</v>
      </c>
      <c r="DY36" s="1">
        <v>-8265</v>
      </c>
      <c r="DZ36" s="1">
        <v>-10528</v>
      </c>
      <c r="EA36" s="1">
        <v>-12078</v>
      </c>
      <c r="EB36" s="1">
        <v>-16364</v>
      </c>
      <c r="EC36" s="1">
        <v>-19571</v>
      </c>
      <c r="ED36" s="1">
        <v>-17960</v>
      </c>
      <c r="EE36" s="1">
        <v>-18809</v>
      </c>
      <c r="EF36" s="1">
        <v>-23411</v>
      </c>
      <c r="EG36" s="1">
        <v>-23946</v>
      </c>
      <c r="EH36" s="1">
        <v>-30667</v>
      </c>
      <c r="EI36" s="1">
        <v>-34671</v>
      </c>
      <c r="EJ36" s="1">
        <v>-36594</v>
      </c>
      <c r="EK36" s="1">
        <v>-38487</v>
      </c>
      <c r="EL36" s="1">
        <v>-49923</v>
      </c>
      <c r="EM36" s="1">
        <v>-54502</v>
      </c>
      <c r="EN36" s="1">
        <v>-64405</v>
      </c>
      <c r="EO36" s="1">
        <v>-67949</v>
      </c>
      <c r="EP36" s="1">
        <v>-69942</v>
      </c>
      <c r="EQ36" s="1">
        <v>-72656</v>
      </c>
      <c r="ER36" s="1">
        <v>-44617</v>
      </c>
      <c r="ES36" s="1">
        <v>-63250</v>
      </c>
      <c r="ET36" s="1">
        <v>-84172</v>
      </c>
      <c r="EU36" s="1">
        <v>-69397</v>
      </c>
    </row>
    <row r="41" spans="1:151" x14ac:dyDescent="0.25">
      <c r="A41" t="s">
        <v>41</v>
      </c>
    </row>
    <row r="42" spans="1:151" x14ac:dyDescent="0.25">
      <c r="A42">
        <v>1</v>
      </c>
      <c r="B42" t="s">
        <v>61</v>
      </c>
    </row>
    <row r="46" spans="1:151" x14ac:dyDescent="0.25">
      <c r="A46" t="s">
        <v>45</v>
      </c>
    </row>
    <row r="47" spans="1:151" x14ac:dyDescent="0.25">
      <c r="A47" t="s">
        <v>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V30"/>
  <sheetViews>
    <sheetView workbookViewId="0">
      <selection activeCell="AA13" sqref="AA13"/>
    </sheetView>
  </sheetViews>
  <sheetFormatPr defaultRowHeight="15" x14ac:dyDescent="0.25"/>
  <cols>
    <col min="27" max="27" width="9.85546875" bestFit="1" customWidth="1"/>
  </cols>
  <sheetData>
    <row r="1" spans="1:152" x14ac:dyDescent="0.25">
      <c r="B1" t="s">
        <v>48</v>
      </c>
    </row>
    <row r="2" spans="1:152" x14ac:dyDescent="0.25">
      <c r="B2" t="s">
        <v>1</v>
      </c>
    </row>
    <row r="3" spans="1:152" x14ac:dyDescent="0.25">
      <c r="B3" t="s">
        <v>49</v>
      </c>
    </row>
    <row r="4" spans="1:152" x14ac:dyDescent="0.25">
      <c r="B4" t="s">
        <v>3</v>
      </c>
    </row>
    <row r="5" spans="1:152" x14ac:dyDescent="0.25">
      <c r="B5" t="s">
        <v>4</v>
      </c>
    </row>
    <row r="8" spans="1:152" x14ac:dyDescent="0.25">
      <c r="B8" s="6" t="s">
        <v>96</v>
      </c>
      <c r="C8" s="6" t="s">
        <v>97</v>
      </c>
      <c r="D8" s="6" t="s">
        <v>97</v>
      </c>
      <c r="E8" s="6" t="s">
        <v>97</v>
      </c>
      <c r="F8" s="6" t="s">
        <v>97</v>
      </c>
      <c r="G8" s="6" t="s">
        <v>97</v>
      </c>
      <c r="H8" s="6" t="s">
        <v>97</v>
      </c>
      <c r="I8" s="6" t="s">
        <v>97</v>
      </c>
      <c r="J8" s="6" t="s">
        <v>97</v>
      </c>
      <c r="K8" s="6" t="s">
        <v>97</v>
      </c>
      <c r="L8" s="6" t="s">
        <v>97</v>
      </c>
      <c r="M8" s="6" t="s">
        <v>97</v>
      </c>
      <c r="N8" s="6" t="s">
        <v>97</v>
      </c>
      <c r="O8" s="6" t="s">
        <v>97</v>
      </c>
      <c r="P8" s="6" t="s">
        <v>97</v>
      </c>
      <c r="Q8" s="6" t="s">
        <v>97</v>
      </c>
      <c r="R8" s="6" t="s">
        <v>97</v>
      </c>
      <c r="S8" s="6" t="s">
        <v>97</v>
      </c>
      <c r="T8" s="6" t="s">
        <v>97</v>
      </c>
      <c r="U8" s="6" t="s">
        <v>97</v>
      </c>
      <c r="V8" s="6" t="s">
        <v>97</v>
      </c>
      <c r="W8" s="6" t="s">
        <v>97</v>
      </c>
      <c r="X8" s="6" t="s">
        <v>97</v>
      </c>
      <c r="Y8" s="6" t="s">
        <v>97</v>
      </c>
      <c r="Z8" s="6" t="s">
        <v>97</v>
      </c>
      <c r="AA8" s="6" t="s">
        <v>97</v>
      </c>
      <c r="AB8" s="6" t="s">
        <v>98</v>
      </c>
      <c r="AC8" s="6" t="s">
        <v>98</v>
      </c>
      <c r="AD8" s="6" t="s">
        <v>98</v>
      </c>
      <c r="AE8" s="6" t="s">
        <v>98</v>
      </c>
      <c r="AF8" s="6" t="s">
        <v>98</v>
      </c>
      <c r="AG8" s="6" t="s">
        <v>98</v>
      </c>
      <c r="AH8" s="6" t="s">
        <v>98</v>
      </c>
      <c r="AI8" s="6" t="s">
        <v>98</v>
      </c>
      <c r="AJ8" s="6" t="s">
        <v>98</v>
      </c>
      <c r="AK8" s="6" t="s">
        <v>98</v>
      </c>
      <c r="AL8" s="6" t="s">
        <v>98</v>
      </c>
      <c r="AM8" s="6" t="s">
        <v>98</v>
      </c>
      <c r="AN8" s="6" t="s">
        <v>98</v>
      </c>
      <c r="AO8" s="6" t="s">
        <v>98</v>
      </c>
      <c r="AP8" s="6" t="s">
        <v>98</v>
      </c>
      <c r="AQ8" s="6" t="s">
        <v>98</v>
      </c>
      <c r="AR8" s="6" t="s">
        <v>98</v>
      </c>
      <c r="AS8" s="6" t="s">
        <v>98</v>
      </c>
      <c r="AT8" s="6" t="s">
        <v>98</v>
      </c>
      <c r="AU8" s="6" t="s">
        <v>98</v>
      </c>
      <c r="AV8" s="6" t="s">
        <v>98</v>
      </c>
      <c r="AW8" s="6" t="s">
        <v>98</v>
      </c>
      <c r="AX8" s="6" t="s">
        <v>98</v>
      </c>
      <c r="AY8" s="6" t="s">
        <v>98</v>
      </c>
      <c r="AZ8" s="6" t="s">
        <v>98</v>
      </c>
      <c r="BA8" s="6" t="s">
        <v>99</v>
      </c>
      <c r="BB8" s="6" t="s">
        <v>99</v>
      </c>
      <c r="BC8" s="6" t="s">
        <v>99</v>
      </c>
      <c r="BD8" s="6" t="s">
        <v>99</v>
      </c>
      <c r="BE8" s="6" t="s">
        <v>99</v>
      </c>
      <c r="BF8" s="6" t="s">
        <v>99</v>
      </c>
      <c r="BG8" s="6" t="s">
        <v>99</v>
      </c>
      <c r="BH8" s="6" t="s">
        <v>99</v>
      </c>
      <c r="BI8" s="6" t="s">
        <v>99</v>
      </c>
      <c r="BJ8" s="6" t="s">
        <v>99</v>
      </c>
      <c r="BK8" s="6" t="s">
        <v>99</v>
      </c>
      <c r="BL8" s="6" t="s">
        <v>99</v>
      </c>
      <c r="BM8" s="6" t="s">
        <v>99</v>
      </c>
      <c r="BN8" s="6" t="s">
        <v>99</v>
      </c>
      <c r="BO8" s="6" t="s">
        <v>99</v>
      </c>
      <c r="BP8" s="6" t="s">
        <v>99</v>
      </c>
      <c r="BQ8" s="6" t="s">
        <v>99</v>
      </c>
      <c r="BR8" s="6" t="s">
        <v>99</v>
      </c>
      <c r="BS8" s="6" t="s">
        <v>99</v>
      </c>
      <c r="BT8" s="6" t="s">
        <v>99</v>
      </c>
      <c r="BU8" s="6" t="s">
        <v>99</v>
      </c>
      <c r="BV8" s="6" t="s">
        <v>99</v>
      </c>
      <c r="BW8" s="6" t="s">
        <v>99</v>
      </c>
      <c r="BX8" s="6" t="s">
        <v>99</v>
      </c>
      <c r="BY8" s="6" t="s">
        <v>99</v>
      </c>
      <c r="BZ8" s="6" t="s">
        <v>100</v>
      </c>
      <c r="CA8" s="6" t="s">
        <v>100</v>
      </c>
      <c r="CB8" s="6" t="s">
        <v>100</v>
      </c>
      <c r="CC8" s="6" t="s">
        <v>100</v>
      </c>
      <c r="CD8" s="6" t="s">
        <v>100</v>
      </c>
      <c r="CE8" s="6" t="s">
        <v>100</v>
      </c>
      <c r="CF8" s="6" t="s">
        <v>100</v>
      </c>
      <c r="CG8" s="6" t="s">
        <v>100</v>
      </c>
      <c r="CH8" s="6" t="s">
        <v>100</v>
      </c>
      <c r="CI8" s="6" t="s">
        <v>100</v>
      </c>
      <c r="CJ8" s="6" t="s">
        <v>100</v>
      </c>
      <c r="CK8" s="6" t="s">
        <v>100</v>
      </c>
      <c r="CL8" s="6" t="s">
        <v>100</v>
      </c>
      <c r="CM8" s="6" t="s">
        <v>100</v>
      </c>
      <c r="CN8" s="6" t="s">
        <v>100</v>
      </c>
      <c r="CO8" s="6" t="s">
        <v>100</v>
      </c>
      <c r="CP8" s="6" t="s">
        <v>100</v>
      </c>
      <c r="CQ8" s="6" t="s">
        <v>100</v>
      </c>
      <c r="CR8" s="6" t="s">
        <v>100</v>
      </c>
      <c r="CS8" s="6" t="s">
        <v>100</v>
      </c>
      <c r="CT8" s="6" t="s">
        <v>100</v>
      </c>
      <c r="CU8" s="6" t="s">
        <v>100</v>
      </c>
      <c r="CV8" s="6" t="s">
        <v>100</v>
      </c>
      <c r="CW8" s="6" t="s">
        <v>100</v>
      </c>
      <c r="CX8" s="6" t="s">
        <v>100</v>
      </c>
      <c r="CY8" s="6" t="s">
        <v>101</v>
      </c>
      <c r="CZ8" s="6" t="s">
        <v>101</v>
      </c>
      <c r="DA8" s="6" t="s">
        <v>101</v>
      </c>
      <c r="DB8" s="6" t="s">
        <v>101</v>
      </c>
      <c r="DC8" s="6" t="s">
        <v>101</v>
      </c>
      <c r="DD8" s="6" t="s">
        <v>101</v>
      </c>
      <c r="DE8" s="6" t="s">
        <v>101</v>
      </c>
      <c r="DF8" s="6" t="s">
        <v>101</v>
      </c>
      <c r="DG8" s="6" t="s">
        <v>101</v>
      </c>
      <c r="DH8" s="6" t="s">
        <v>101</v>
      </c>
      <c r="DI8" s="6" t="s">
        <v>101</v>
      </c>
      <c r="DJ8" s="6" t="s">
        <v>101</v>
      </c>
      <c r="DK8" s="6" t="s">
        <v>101</v>
      </c>
      <c r="DL8" s="6" t="s">
        <v>101</v>
      </c>
      <c r="DM8" s="6" t="s">
        <v>101</v>
      </c>
      <c r="DN8" s="6" t="s">
        <v>101</v>
      </c>
      <c r="DO8" s="6" t="s">
        <v>101</v>
      </c>
      <c r="DP8" s="6" t="s">
        <v>101</v>
      </c>
      <c r="DQ8" s="6" t="s">
        <v>101</v>
      </c>
      <c r="DR8" s="6" t="s">
        <v>101</v>
      </c>
      <c r="DS8" s="6" t="s">
        <v>101</v>
      </c>
      <c r="DT8" s="6" t="s">
        <v>101</v>
      </c>
      <c r="DU8" s="6" t="s">
        <v>101</v>
      </c>
      <c r="DV8" s="6" t="s">
        <v>101</v>
      </c>
      <c r="DW8" s="6" t="s">
        <v>101</v>
      </c>
      <c r="DX8" s="6" t="s">
        <v>102</v>
      </c>
      <c r="DY8" s="6" t="s">
        <v>102</v>
      </c>
      <c r="DZ8" s="6" t="s">
        <v>102</v>
      </c>
      <c r="EA8" s="6" t="s">
        <v>102</v>
      </c>
      <c r="EB8" s="6" t="s">
        <v>102</v>
      </c>
      <c r="EC8" s="6" t="s">
        <v>102</v>
      </c>
      <c r="ED8" s="6" t="s">
        <v>102</v>
      </c>
      <c r="EE8" s="6" t="s">
        <v>102</v>
      </c>
      <c r="EF8" s="6" t="s">
        <v>102</v>
      </c>
      <c r="EG8" s="6" t="s">
        <v>102</v>
      </c>
      <c r="EH8" s="6" t="s">
        <v>102</v>
      </c>
      <c r="EI8" s="6" t="s">
        <v>102</v>
      </c>
      <c r="EJ8" s="6" t="s">
        <v>102</v>
      </c>
      <c r="EK8" s="6" t="s">
        <v>102</v>
      </c>
      <c r="EL8" s="6" t="s">
        <v>102</v>
      </c>
      <c r="EM8" s="6" t="s">
        <v>102</v>
      </c>
      <c r="EN8" s="6" t="s">
        <v>102</v>
      </c>
      <c r="EO8" s="6" t="s">
        <v>102</v>
      </c>
      <c r="EP8" s="6" t="s">
        <v>102</v>
      </c>
      <c r="EQ8" s="6" t="s">
        <v>102</v>
      </c>
      <c r="ER8" s="6" t="s">
        <v>102</v>
      </c>
      <c r="ES8" s="6" t="s">
        <v>102</v>
      </c>
      <c r="ET8" s="6" t="s">
        <v>102</v>
      </c>
      <c r="EU8" s="6" t="s">
        <v>102</v>
      </c>
      <c r="EV8" s="6" t="s">
        <v>102</v>
      </c>
    </row>
    <row r="9" spans="1:152" x14ac:dyDescent="0.25">
      <c r="B9" t="s">
        <v>5</v>
      </c>
      <c r="C9" t="s">
        <v>6</v>
      </c>
    </row>
    <row r="10" spans="1:152" x14ac:dyDescent="0.25">
      <c r="B10" t="s">
        <v>50</v>
      </c>
      <c r="C10" t="s">
        <v>10</v>
      </c>
      <c r="AB10" t="s">
        <v>56</v>
      </c>
      <c r="BA10" t="s">
        <v>57</v>
      </c>
      <c r="BZ10" t="s">
        <v>58</v>
      </c>
      <c r="CY10" t="s">
        <v>59</v>
      </c>
      <c r="DX10" t="s">
        <v>60</v>
      </c>
    </row>
    <row r="11" spans="1:152" x14ac:dyDescent="0.25">
      <c r="B11" t="s">
        <v>51</v>
      </c>
      <c r="C11">
        <v>1999</v>
      </c>
      <c r="D11">
        <v>2000</v>
      </c>
      <c r="E11">
        <v>2001</v>
      </c>
      <c r="F11">
        <v>2002</v>
      </c>
      <c r="G11">
        <v>2003</v>
      </c>
      <c r="H11">
        <v>2004</v>
      </c>
      <c r="I11">
        <v>2005</v>
      </c>
      <c r="J11">
        <v>2006</v>
      </c>
      <c r="K11">
        <v>2007</v>
      </c>
      <c r="L11">
        <v>2008</v>
      </c>
      <c r="M11">
        <v>2009</v>
      </c>
      <c r="N11">
        <v>2010</v>
      </c>
      <c r="O11">
        <v>2011</v>
      </c>
      <c r="P11">
        <v>2012</v>
      </c>
      <c r="Q11">
        <v>2013</v>
      </c>
      <c r="R11">
        <v>2014</v>
      </c>
      <c r="S11">
        <v>2015</v>
      </c>
      <c r="T11">
        <v>2016</v>
      </c>
      <c r="U11">
        <v>2017</v>
      </c>
      <c r="V11">
        <v>2018</v>
      </c>
      <c r="W11">
        <v>2019</v>
      </c>
      <c r="X11">
        <v>2020</v>
      </c>
      <c r="Y11">
        <v>2021</v>
      </c>
      <c r="Z11">
        <v>2022</v>
      </c>
      <c r="AA11">
        <v>2023</v>
      </c>
      <c r="AB11">
        <v>1999</v>
      </c>
      <c r="AC11">
        <v>2000</v>
      </c>
      <c r="AD11">
        <v>2001</v>
      </c>
      <c r="AE11">
        <v>2002</v>
      </c>
      <c r="AF11">
        <v>2003</v>
      </c>
      <c r="AG11">
        <v>2004</v>
      </c>
      <c r="AH11">
        <v>2005</v>
      </c>
      <c r="AI11">
        <v>2006</v>
      </c>
      <c r="AJ11">
        <v>2007</v>
      </c>
      <c r="AK11">
        <v>2008</v>
      </c>
      <c r="AL11">
        <v>2009</v>
      </c>
      <c r="AM11">
        <v>2010</v>
      </c>
      <c r="AN11">
        <v>2011</v>
      </c>
      <c r="AO11">
        <v>2012</v>
      </c>
      <c r="AP11">
        <v>2013</v>
      </c>
      <c r="AQ11">
        <v>2014</v>
      </c>
      <c r="AR11">
        <v>2015</v>
      </c>
      <c r="AS11">
        <v>2016</v>
      </c>
      <c r="AT11">
        <v>2017</v>
      </c>
      <c r="AU11">
        <v>2018</v>
      </c>
      <c r="AV11">
        <v>2019</v>
      </c>
      <c r="AW11">
        <v>2020</v>
      </c>
      <c r="AX11">
        <v>2021</v>
      </c>
      <c r="AY11">
        <v>2022</v>
      </c>
      <c r="AZ11">
        <v>2023</v>
      </c>
      <c r="BA11">
        <v>1999</v>
      </c>
      <c r="BB11">
        <v>2000</v>
      </c>
      <c r="BC11">
        <v>2001</v>
      </c>
      <c r="BD11">
        <v>2002</v>
      </c>
      <c r="BE11">
        <v>2003</v>
      </c>
      <c r="BF11">
        <v>2004</v>
      </c>
      <c r="BG11">
        <v>2005</v>
      </c>
      <c r="BH11">
        <v>2006</v>
      </c>
      <c r="BI11">
        <v>2007</v>
      </c>
      <c r="BJ11">
        <v>2008</v>
      </c>
      <c r="BK11">
        <v>2009</v>
      </c>
      <c r="BL11">
        <v>2010</v>
      </c>
      <c r="BM11">
        <v>2011</v>
      </c>
      <c r="BN11">
        <v>2012</v>
      </c>
      <c r="BO11">
        <v>2013</v>
      </c>
      <c r="BP11">
        <v>2014</v>
      </c>
      <c r="BQ11">
        <v>2015</v>
      </c>
      <c r="BR11">
        <v>2016</v>
      </c>
      <c r="BS11">
        <v>2017</v>
      </c>
      <c r="BT11">
        <v>2018</v>
      </c>
      <c r="BU11">
        <v>2019</v>
      </c>
      <c r="BV11">
        <v>2020</v>
      </c>
      <c r="BW11">
        <v>2021</v>
      </c>
      <c r="BX11">
        <v>2022</v>
      </c>
      <c r="BY11">
        <v>2023</v>
      </c>
      <c r="BZ11">
        <v>1999</v>
      </c>
      <c r="CA11">
        <v>2000</v>
      </c>
      <c r="CB11">
        <v>2001</v>
      </c>
      <c r="CC11">
        <v>2002</v>
      </c>
      <c r="CD11">
        <v>2003</v>
      </c>
      <c r="CE11">
        <v>2004</v>
      </c>
      <c r="CF11">
        <v>2005</v>
      </c>
      <c r="CG11">
        <v>2006</v>
      </c>
      <c r="CH11">
        <v>2007</v>
      </c>
      <c r="CI11">
        <v>2008</v>
      </c>
      <c r="CJ11">
        <v>2009</v>
      </c>
      <c r="CK11">
        <v>2010</v>
      </c>
      <c r="CL11">
        <v>2011</v>
      </c>
      <c r="CM11">
        <v>2012</v>
      </c>
      <c r="CN11">
        <v>2013</v>
      </c>
      <c r="CO11">
        <v>2014</v>
      </c>
      <c r="CP11">
        <v>2015</v>
      </c>
      <c r="CQ11">
        <v>2016</v>
      </c>
      <c r="CR11">
        <v>2017</v>
      </c>
      <c r="CS11">
        <v>2018</v>
      </c>
      <c r="CT11">
        <v>2019</v>
      </c>
      <c r="CU11">
        <v>2020</v>
      </c>
      <c r="CV11">
        <v>2021</v>
      </c>
      <c r="CW11">
        <v>2022</v>
      </c>
      <c r="CX11">
        <v>2023</v>
      </c>
      <c r="CY11">
        <v>1999</v>
      </c>
      <c r="CZ11">
        <v>2000</v>
      </c>
      <c r="DA11">
        <v>2001</v>
      </c>
      <c r="DB11">
        <v>2002</v>
      </c>
      <c r="DC11">
        <v>2003</v>
      </c>
      <c r="DD11">
        <v>2004</v>
      </c>
      <c r="DE11">
        <v>2005</v>
      </c>
      <c r="DF11">
        <v>2006</v>
      </c>
      <c r="DG11">
        <v>2007</v>
      </c>
      <c r="DH11">
        <v>2008</v>
      </c>
      <c r="DI11">
        <v>2009</v>
      </c>
      <c r="DJ11">
        <v>2010</v>
      </c>
      <c r="DK11">
        <v>2011</v>
      </c>
      <c r="DL11">
        <v>2012</v>
      </c>
      <c r="DM11">
        <v>2013</v>
      </c>
      <c r="DN11">
        <v>2014</v>
      </c>
      <c r="DO11">
        <v>2015</v>
      </c>
      <c r="DP11">
        <v>2016</v>
      </c>
      <c r="DQ11">
        <v>2017</v>
      </c>
      <c r="DR11">
        <v>2018</v>
      </c>
      <c r="DS11">
        <v>2019</v>
      </c>
      <c r="DT11">
        <v>2020</v>
      </c>
      <c r="DU11">
        <v>2021</v>
      </c>
      <c r="DV11">
        <v>2022</v>
      </c>
      <c r="DW11">
        <v>2023</v>
      </c>
      <c r="DX11">
        <v>1999</v>
      </c>
      <c r="DY11">
        <v>2000</v>
      </c>
      <c r="DZ11">
        <v>2001</v>
      </c>
      <c r="EA11">
        <v>2002</v>
      </c>
      <c r="EB11">
        <v>2003</v>
      </c>
      <c r="EC11">
        <v>2004</v>
      </c>
      <c r="ED11">
        <v>2005</v>
      </c>
      <c r="EE11">
        <v>2006</v>
      </c>
      <c r="EF11">
        <v>2007</v>
      </c>
      <c r="EG11">
        <v>2008</v>
      </c>
      <c r="EH11">
        <v>2009</v>
      </c>
      <c r="EI11">
        <v>2010</v>
      </c>
      <c r="EJ11">
        <v>2011</v>
      </c>
      <c r="EK11">
        <v>2012</v>
      </c>
      <c r="EL11">
        <v>2013</v>
      </c>
      <c r="EM11">
        <v>2014</v>
      </c>
      <c r="EN11">
        <v>2015</v>
      </c>
      <c r="EO11">
        <v>2016</v>
      </c>
      <c r="EP11">
        <v>2017</v>
      </c>
      <c r="EQ11">
        <v>2018</v>
      </c>
      <c r="ER11">
        <v>2019</v>
      </c>
      <c r="ES11">
        <v>2020</v>
      </c>
      <c r="ET11">
        <v>2021</v>
      </c>
      <c r="EU11">
        <v>2022</v>
      </c>
      <c r="EV11">
        <v>2023</v>
      </c>
    </row>
    <row r="12" spans="1:152" x14ac:dyDescent="0.25">
      <c r="C12" t="s">
        <v>52</v>
      </c>
    </row>
    <row r="13" spans="1:152" x14ac:dyDescent="0.25">
      <c r="A13" s="6" t="s">
        <v>51</v>
      </c>
      <c r="B13" t="s">
        <v>53</v>
      </c>
      <c r="C13" s="1">
        <v>11850878</v>
      </c>
      <c r="D13" s="1">
        <v>12035258</v>
      </c>
      <c r="E13" s="1">
        <v>12248318</v>
      </c>
      <c r="F13" s="1">
        <v>12430553</v>
      </c>
      <c r="G13" s="1">
        <v>12586858</v>
      </c>
      <c r="H13" s="1">
        <v>12758766</v>
      </c>
      <c r="I13" s="1">
        <v>12917117</v>
      </c>
      <c r="J13" s="1">
        <v>13104953</v>
      </c>
      <c r="K13" s="1">
        <v>13289059</v>
      </c>
      <c r="L13" s="1">
        <v>13499374</v>
      </c>
      <c r="M13" s="1">
        <v>13659411</v>
      </c>
      <c r="N13" s="1">
        <v>13829443</v>
      </c>
      <c r="O13" s="1">
        <v>14071733</v>
      </c>
      <c r="P13" s="1">
        <v>14208592</v>
      </c>
      <c r="Q13" s="1">
        <v>14385715</v>
      </c>
      <c r="R13" s="1">
        <v>14549142</v>
      </c>
      <c r="S13" s="1">
        <v>14636090</v>
      </c>
      <c r="T13" s="1">
        <v>14792054</v>
      </c>
      <c r="U13" s="1">
        <v>15079436</v>
      </c>
      <c r="V13" s="1">
        <v>15389443</v>
      </c>
      <c r="W13" s="1">
        <v>15658286</v>
      </c>
      <c r="X13" s="1">
        <v>15746171</v>
      </c>
      <c r="Y13" s="1">
        <v>15706067</v>
      </c>
      <c r="Z13" s="1">
        <v>16232100</v>
      </c>
      <c r="AA13" s="1">
        <v>16575228</v>
      </c>
      <c r="AB13" s="1">
        <v>2717270</v>
      </c>
      <c r="AC13" s="1">
        <v>2731991</v>
      </c>
      <c r="AD13" s="1">
        <v>2731076</v>
      </c>
      <c r="AE13" s="1">
        <v>2762524</v>
      </c>
      <c r="AF13" s="1">
        <v>2750456</v>
      </c>
      <c r="AG13" s="1">
        <v>2817752</v>
      </c>
      <c r="AH13" s="1">
        <v>2827417</v>
      </c>
      <c r="AI13" s="1">
        <v>2830629</v>
      </c>
      <c r="AJ13" s="1">
        <v>2846679</v>
      </c>
      <c r="AK13" s="1">
        <v>2874485</v>
      </c>
      <c r="AL13" s="1">
        <v>2891780</v>
      </c>
      <c r="AM13" s="1">
        <v>2918071</v>
      </c>
      <c r="AN13" s="1">
        <v>2898918</v>
      </c>
      <c r="AO13" s="1">
        <v>2870208</v>
      </c>
      <c r="AP13" s="1">
        <v>2794165</v>
      </c>
      <c r="AQ13" s="1">
        <v>2734995</v>
      </c>
      <c r="AR13" s="1">
        <v>2850581</v>
      </c>
      <c r="AS13" s="1">
        <v>2834613</v>
      </c>
      <c r="AT13" s="1">
        <v>2896271</v>
      </c>
      <c r="AU13" s="1">
        <v>2934308</v>
      </c>
      <c r="AV13" s="1">
        <v>2965323</v>
      </c>
      <c r="AW13" s="1">
        <v>2917605</v>
      </c>
      <c r="AX13" s="1">
        <v>2839968</v>
      </c>
      <c r="AY13" s="1">
        <v>2975392</v>
      </c>
      <c r="AZ13" s="1">
        <v>3034500</v>
      </c>
      <c r="BA13" s="1">
        <v>2925443</v>
      </c>
      <c r="BB13" s="1">
        <v>2939373</v>
      </c>
      <c r="BC13" s="1">
        <v>2937863</v>
      </c>
      <c r="BD13" s="1">
        <v>2899494</v>
      </c>
      <c r="BE13" s="1">
        <v>2879539</v>
      </c>
      <c r="BF13" s="1">
        <v>2825373</v>
      </c>
      <c r="BG13" s="1">
        <v>2801378</v>
      </c>
      <c r="BH13" s="1">
        <v>2736765</v>
      </c>
      <c r="BI13" s="1">
        <v>2678708</v>
      </c>
      <c r="BJ13" s="1">
        <v>2679830</v>
      </c>
      <c r="BK13" s="1">
        <v>2636206</v>
      </c>
      <c r="BL13" s="1">
        <v>2600309</v>
      </c>
      <c r="BM13" s="1">
        <v>2616440</v>
      </c>
      <c r="BN13" s="1">
        <v>2571072</v>
      </c>
      <c r="BO13" s="1">
        <v>2569811</v>
      </c>
      <c r="BP13" s="1">
        <v>2610646</v>
      </c>
      <c r="BQ13" s="1">
        <v>2628498</v>
      </c>
      <c r="BR13" s="1">
        <v>2588640</v>
      </c>
      <c r="BS13" s="1">
        <v>2623464</v>
      </c>
      <c r="BT13" s="1">
        <v>2669629</v>
      </c>
      <c r="BU13" s="1">
        <v>2722806</v>
      </c>
      <c r="BV13" s="1">
        <v>2759799</v>
      </c>
      <c r="BW13" s="1">
        <v>2778916</v>
      </c>
      <c r="BX13" s="1">
        <v>2889145</v>
      </c>
      <c r="BY13" s="1">
        <v>2974883</v>
      </c>
      <c r="BZ13" s="1">
        <v>2322427</v>
      </c>
      <c r="CA13" s="1">
        <v>2401151</v>
      </c>
      <c r="CB13" s="1">
        <v>2489255</v>
      </c>
      <c r="CC13" s="1">
        <v>2551950</v>
      </c>
      <c r="CD13" s="1">
        <v>2600238</v>
      </c>
      <c r="CE13" s="1">
        <v>2646490</v>
      </c>
      <c r="CF13" s="1">
        <v>2748336</v>
      </c>
      <c r="CG13" s="1">
        <v>2836851</v>
      </c>
      <c r="CH13" s="1">
        <v>2889838</v>
      </c>
      <c r="CI13" s="1">
        <v>2929134</v>
      </c>
      <c r="CJ13" s="1">
        <v>2920723</v>
      </c>
      <c r="CK13" s="1">
        <v>2925728</v>
      </c>
      <c r="CL13" s="1">
        <v>2964497</v>
      </c>
      <c r="CM13" s="1">
        <v>2889966</v>
      </c>
      <c r="CN13" s="1">
        <v>2969878</v>
      </c>
      <c r="CO13" s="1">
        <v>2844437</v>
      </c>
      <c r="CP13" s="1">
        <v>2828147</v>
      </c>
      <c r="CQ13" s="1">
        <v>2799287</v>
      </c>
      <c r="CR13" s="1">
        <v>2714778</v>
      </c>
      <c r="CS13" s="1">
        <v>2648746</v>
      </c>
      <c r="CT13" s="1">
        <v>2611199</v>
      </c>
      <c r="CU13" s="1">
        <v>2574665</v>
      </c>
      <c r="CV13" s="1">
        <v>2546873</v>
      </c>
      <c r="CW13" s="1">
        <v>2593051</v>
      </c>
      <c r="CX13" s="1">
        <v>2618882</v>
      </c>
      <c r="CY13" s="1">
        <v>1450639</v>
      </c>
      <c r="CZ13" s="1">
        <v>1496554</v>
      </c>
      <c r="DA13" s="1">
        <v>1567167</v>
      </c>
      <c r="DB13" s="1">
        <v>1627536</v>
      </c>
      <c r="DC13" s="1">
        <v>1733488</v>
      </c>
      <c r="DD13" s="1">
        <v>1798532</v>
      </c>
      <c r="DE13" s="1">
        <v>1881935</v>
      </c>
      <c r="DF13" s="1">
        <v>1962838</v>
      </c>
      <c r="DG13" s="1">
        <v>2039753</v>
      </c>
      <c r="DH13" s="1">
        <v>2096549</v>
      </c>
      <c r="DI13" s="1">
        <v>2182008</v>
      </c>
      <c r="DJ13" s="1">
        <v>2274543</v>
      </c>
      <c r="DK13" s="1">
        <v>2359782</v>
      </c>
      <c r="DL13" s="1">
        <v>2455096</v>
      </c>
      <c r="DM13" s="1">
        <v>2489771</v>
      </c>
      <c r="DN13" s="1">
        <v>2687353</v>
      </c>
      <c r="DO13" s="1">
        <v>2586578</v>
      </c>
      <c r="DP13" s="1">
        <v>2752610</v>
      </c>
      <c r="DQ13" s="1">
        <v>2807066</v>
      </c>
      <c r="DR13" s="1">
        <v>2855076</v>
      </c>
      <c r="DS13" s="1">
        <v>2898470</v>
      </c>
      <c r="DT13" s="1">
        <v>2916664</v>
      </c>
      <c r="DU13" s="1">
        <v>2891211</v>
      </c>
      <c r="DV13" s="1">
        <v>2910271</v>
      </c>
      <c r="DW13" s="1">
        <v>2899654</v>
      </c>
      <c r="DX13" s="1">
        <v>2435097</v>
      </c>
      <c r="DY13" s="1">
        <v>2466190</v>
      </c>
      <c r="DZ13" s="1">
        <v>2522957</v>
      </c>
      <c r="EA13" s="1">
        <v>2589050</v>
      </c>
      <c r="EB13" s="1">
        <v>2623136</v>
      </c>
      <c r="EC13" s="1">
        <v>2670621</v>
      </c>
      <c r="ED13" s="1">
        <v>2658049</v>
      </c>
      <c r="EE13" s="1">
        <v>2737871</v>
      </c>
      <c r="EF13" s="1">
        <v>2834081</v>
      </c>
      <c r="EG13" s="1">
        <v>2919377</v>
      </c>
      <c r="EH13" s="1">
        <v>3028693</v>
      </c>
      <c r="EI13" s="1">
        <v>3110791</v>
      </c>
      <c r="EJ13" s="1">
        <v>3232096</v>
      </c>
      <c r="EK13" s="1">
        <v>3422251</v>
      </c>
      <c r="EL13" s="1">
        <v>3562087</v>
      </c>
      <c r="EM13" s="1">
        <v>3671710</v>
      </c>
      <c r="EN13" s="1">
        <v>3742287</v>
      </c>
      <c r="EO13" s="1">
        <v>3816905</v>
      </c>
      <c r="EP13" s="1">
        <v>4037859</v>
      </c>
      <c r="EQ13" s="1">
        <v>4281684</v>
      </c>
      <c r="ER13" s="1">
        <v>4460489</v>
      </c>
      <c r="ES13" s="1">
        <v>4577440</v>
      </c>
      <c r="ET13" s="1">
        <v>4649101</v>
      </c>
      <c r="EU13" s="1">
        <v>4864244</v>
      </c>
      <c r="EV13" s="1">
        <v>5047309</v>
      </c>
    </row>
    <row r="14" spans="1:152" x14ac:dyDescent="0.25">
      <c r="A14" s="6">
        <v>1</v>
      </c>
      <c r="B14" t="s">
        <v>62</v>
      </c>
      <c r="C14" s="1">
        <v>2370175</v>
      </c>
      <c r="D14" s="1">
        <v>2407051</v>
      </c>
      <c r="E14" s="1">
        <v>2449663</v>
      </c>
      <c r="F14" s="1">
        <v>2486110</v>
      </c>
      <c r="G14" s="1">
        <v>2517371</v>
      </c>
      <c r="H14" s="1">
        <v>2551754</v>
      </c>
      <c r="I14" s="1">
        <v>2583424</v>
      </c>
      <c r="J14" s="1">
        <v>2620990</v>
      </c>
      <c r="K14" s="1">
        <v>2657811</v>
      </c>
      <c r="L14" s="1">
        <v>2699874</v>
      </c>
      <c r="M14" s="1">
        <v>2731883</v>
      </c>
      <c r="N14" s="1">
        <v>2765888</v>
      </c>
      <c r="O14" s="1">
        <v>2814346</v>
      </c>
      <c r="P14" s="1">
        <v>2841719</v>
      </c>
      <c r="Q14" s="1">
        <v>2877143</v>
      </c>
      <c r="R14" s="1">
        <v>2909829</v>
      </c>
      <c r="S14" s="1">
        <v>2927218</v>
      </c>
      <c r="T14" s="1">
        <v>2958410</v>
      </c>
      <c r="U14" s="1">
        <v>3015888</v>
      </c>
      <c r="V14" s="1">
        <v>3077888</v>
      </c>
      <c r="W14" s="1">
        <v>3131657</v>
      </c>
      <c r="X14" s="1">
        <v>3149234</v>
      </c>
      <c r="Y14" s="1">
        <v>3141213</v>
      </c>
      <c r="Z14" s="1">
        <v>3246420</v>
      </c>
      <c r="AA14" s="1">
        <v>3315046</v>
      </c>
      <c r="AB14" s="1">
        <v>678819</v>
      </c>
      <c r="AC14" s="1">
        <v>653989</v>
      </c>
      <c r="AD14" s="1">
        <v>648630</v>
      </c>
      <c r="AE14" s="1">
        <v>643866</v>
      </c>
      <c r="AF14" s="1">
        <v>632155</v>
      </c>
      <c r="AG14" s="1">
        <v>642700</v>
      </c>
      <c r="AH14" s="1">
        <v>642944</v>
      </c>
      <c r="AI14" s="1">
        <v>627666</v>
      </c>
      <c r="AJ14" s="1">
        <v>618285</v>
      </c>
      <c r="AK14" s="1">
        <v>617580</v>
      </c>
      <c r="AL14" s="1">
        <v>723504</v>
      </c>
      <c r="AM14" s="1">
        <v>679298</v>
      </c>
      <c r="AN14" s="1">
        <v>604464</v>
      </c>
      <c r="AO14" s="1">
        <v>634562</v>
      </c>
      <c r="AP14" s="1">
        <v>649569</v>
      </c>
      <c r="AQ14" s="1">
        <v>591134</v>
      </c>
      <c r="AR14" s="1">
        <v>653483</v>
      </c>
      <c r="AS14" s="1">
        <v>633170</v>
      </c>
      <c r="AT14" s="1">
        <v>620454</v>
      </c>
      <c r="AU14" s="1">
        <v>614383</v>
      </c>
      <c r="AV14" s="1">
        <v>625329</v>
      </c>
      <c r="AW14" s="1">
        <v>622490</v>
      </c>
      <c r="AX14" s="1">
        <v>604636</v>
      </c>
      <c r="AY14" s="1">
        <v>632138</v>
      </c>
      <c r="AZ14" s="1">
        <v>643498</v>
      </c>
      <c r="BA14" s="1">
        <v>504956</v>
      </c>
      <c r="BB14" s="1">
        <v>485637</v>
      </c>
      <c r="BC14" s="1">
        <v>500329</v>
      </c>
      <c r="BD14" s="1">
        <v>496628</v>
      </c>
      <c r="BE14" s="1">
        <v>517357</v>
      </c>
      <c r="BF14" s="1">
        <v>529089</v>
      </c>
      <c r="BG14" s="1">
        <v>489673</v>
      </c>
      <c r="BH14" s="1">
        <v>443977</v>
      </c>
      <c r="BI14" s="1">
        <v>419535</v>
      </c>
      <c r="BJ14" s="1">
        <v>422027</v>
      </c>
      <c r="BK14" s="1">
        <v>422932</v>
      </c>
      <c r="BL14" s="1">
        <v>345723</v>
      </c>
      <c r="BM14" s="1">
        <v>370950</v>
      </c>
      <c r="BN14" s="1">
        <v>430570</v>
      </c>
      <c r="BO14" s="1">
        <v>429770</v>
      </c>
      <c r="BP14" s="1">
        <v>370955</v>
      </c>
      <c r="BQ14" s="1">
        <v>402225</v>
      </c>
      <c r="BR14" s="1">
        <v>393222</v>
      </c>
      <c r="BS14" s="1">
        <v>366211</v>
      </c>
      <c r="BT14" s="1">
        <v>368302</v>
      </c>
      <c r="BU14" s="1">
        <v>413862</v>
      </c>
      <c r="BV14" s="1">
        <v>444215</v>
      </c>
      <c r="BW14" s="1">
        <v>454436</v>
      </c>
      <c r="BX14" s="1">
        <v>471435</v>
      </c>
      <c r="BY14" s="1">
        <v>484441</v>
      </c>
      <c r="BZ14" s="1">
        <v>409755</v>
      </c>
      <c r="CA14" s="1">
        <v>413303</v>
      </c>
      <c r="CB14" s="1">
        <v>427956</v>
      </c>
      <c r="CC14" s="1">
        <v>419804</v>
      </c>
      <c r="CD14" s="1">
        <v>455482</v>
      </c>
      <c r="CE14" s="1">
        <v>462406</v>
      </c>
      <c r="CF14" s="1">
        <v>452932</v>
      </c>
      <c r="CG14" s="1">
        <v>484886</v>
      </c>
      <c r="CH14" s="1">
        <v>507364</v>
      </c>
      <c r="CI14" s="1">
        <v>466591</v>
      </c>
      <c r="CJ14" s="1">
        <v>495140</v>
      </c>
      <c r="CK14" s="1">
        <v>491681</v>
      </c>
      <c r="CL14" s="1">
        <v>498574</v>
      </c>
      <c r="CM14" s="1">
        <v>469603</v>
      </c>
      <c r="CN14" s="1">
        <v>507915</v>
      </c>
      <c r="CO14" s="1">
        <v>492138</v>
      </c>
      <c r="CP14" s="1">
        <v>485541</v>
      </c>
      <c r="CQ14" s="1">
        <v>484566</v>
      </c>
      <c r="CR14" s="1">
        <v>444106</v>
      </c>
      <c r="CS14" s="1">
        <v>412415</v>
      </c>
      <c r="CT14" s="1">
        <v>397955</v>
      </c>
      <c r="CU14" s="1">
        <v>387915</v>
      </c>
      <c r="CV14" s="1">
        <v>390178</v>
      </c>
      <c r="CW14" s="1">
        <v>396407</v>
      </c>
      <c r="CX14" s="1">
        <v>399526</v>
      </c>
      <c r="CY14" s="1">
        <v>349269</v>
      </c>
      <c r="CZ14" s="1">
        <v>376507</v>
      </c>
      <c r="DA14" s="1">
        <v>388959</v>
      </c>
      <c r="DB14" s="1">
        <v>411411</v>
      </c>
      <c r="DC14" s="1">
        <v>422774</v>
      </c>
      <c r="DD14" s="1">
        <v>416581</v>
      </c>
      <c r="DE14" s="1">
        <v>448799</v>
      </c>
      <c r="DF14" s="1">
        <v>486697</v>
      </c>
      <c r="DG14" s="1">
        <v>468706</v>
      </c>
      <c r="DH14" s="1">
        <v>524740</v>
      </c>
      <c r="DI14" s="1">
        <v>463898</v>
      </c>
      <c r="DJ14" s="1">
        <v>520189</v>
      </c>
      <c r="DK14" s="1">
        <v>553023</v>
      </c>
      <c r="DL14" s="1">
        <v>514372</v>
      </c>
      <c r="DM14" s="1">
        <v>499314</v>
      </c>
      <c r="DN14" s="1">
        <v>543457</v>
      </c>
      <c r="DO14" s="1">
        <v>522972</v>
      </c>
      <c r="DP14" s="1">
        <v>590247</v>
      </c>
      <c r="DQ14" s="1">
        <v>593513</v>
      </c>
      <c r="DR14" s="1">
        <v>594405</v>
      </c>
      <c r="DS14" s="1">
        <v>585037</v>
      </c>
      <c r="DT14" s="1">
        <v>541077</v>
      </c>
      <c r="DU14" s="1">
        <v>523131</v>
      </c>
      <c r="DV14" s="1">
        <v>525414</v>
      </c>
      <c r="DW14" s="1">
        <v>522347</v>
      </c>
      <c r="DX14" s="1">
        <v>427376</v>
      </c>
      <c r="DY14" s="1">
        <v>477616</v>
      </c>
      <c r="DZ14" s="1">
        <v>483790</v>
      </c>
      <c r="EA14" s="1">
        <v>514401</v>
      </c>
      <c r="EB14" s="1">
        <v>489602</v>
      </c>
      <c r="EC14" s="1">
        <v>500978</v>
      </c>
      <c r="ED14" s="1">
        <v>549075</v>
      </c>
      <c r="EE14" s="1">
        <v>577765</v>
      </c>
      <c r="EF14" s="1">
        <v>643921</v>
      </c>
      <c r="EG14" s="1">
        <v>668936</v>
      </c>
      <c r="EH14" s="1">
        <v>626409</v>
      </c>
      <c r="EI14" s="1">
        <v>728997</v>
      </c>
      <c r="EJ14" s="1">
        <v>787334</v>
      </c>
      <c r="EK14" s="1">
        <v>792611</v>
      </c>
      <c r="EL14" s="1">
        <v>790574</v>
      </c>
      <c r="EM14" s="1">
        <v>912145</v>
      </c>
      <c r="EN14" s="1">
        <v>862997</v>
      </c>
      <c r="EO14" s="1">
        <v>857205</v>
      </c>
      <c r="EP14" s="1">
        <v>991605</v>
      </c>
      <c r="EQ14" s="1">
        <v>1088383</v>
      </c>
      <c r="ER14" s="1">
        <v>1109475</v>
      </c>
      <c r="ES14" s="1">
        <v>1153537</v>
      </c>
      <c r="ET14" s="1">
        <v>1168833</v>
      </c>
      <c r="EU14" s="1">
        <v>1221027</v>
      </c>
      <c r="EV14" s="1">
        <v>1265235</v>
      </c>
    </row>
    <row r="15" spans="1:152" x14ac:dyDescent="0.25">
      <c r="A15" s="6">
        <v>2</v>
      </c>
      <c r="B15" t="s">
        <v>63</v>
      </c>
      <c r="C15" s="1">
        <v>2370175</v>
      </c>
      <c r="D15" s="1">
        <v>2407051</v>
      </c>
      <c r="E15" s="1">
        <v>2449663</v>
      </c>
      <c r="F15" s="1">
        <v>2486110</v>
      </c>
      <c r="G15" s="1">
        <v>2517371</v>
      </c>
      <c r="H15" s="1">
        <v>2551753</v>
      </c>
      <c r="I15" s="1">
        <v>2583424</v>
      </c>
      <c r="J15" s="1">
        <v>2620990</v>
      </c>
      <c r="K15" s="1">
        <v>2657812</v>
      </c>
      <c r="L15" s="1">
        <v>2699875</v>
      </c>
      <c r="M15" s="1">
        <v>2731882</v>
      </c>
      <c r="N15" s="1">
        <v>2765888</v>
      </c>
      <c r="O15" s="1">
        <v>2814346</v>
      </c>
      <c r="P15" s="1">
        <v>2841719</v>
      </c>
      <c r="Q15" s="1">
        <v>2877143</v>
      </c>
      <c r="R15" s="1">
        <v>2909829</v>
      </c>
      <c r="S15" s="1">
        <v>2927218</v>
      </c>
      <c r="T15" s="1">
        <v>2958411</v>
      </c>
      <c r="U15" s="1">
        <v>3015887</v>
      </c>
      <c r="V15" s="1">
        <v>3077888</v>
      </c>
      <c r="W15" s="1">
        <v>3131657</v>
      </c>
      <c r="X15" s="1">
        <v>3149234</v>
      </c>
      <c r="Y15" s="1">
        <v>3141213</v>
      </c>
      <c r="Z15" s="1">
        <v>3246420</v>
      </c>
      <c r="AA15" s="1">
        <v>3315046</v>
      </c>
      <c r="AB15" s="1">
        <v>546282</v>
      </c>
      <c r="AC15" s="1">
        <v>523129</v>
      </c>
      <c r="AD15" s="1">
        <v>528148</v>
      </c>
      <c r="AE15" s="1">
        <v>541960</v>
      </c>
      <c r="AF15" s="1">
        <v>527540</v>
      </c>
      <c r="AG15" s="1">
        <v>528282</v>
      </c>
      <c r="AH15" s="1">
        <v>573366</v>
      </c>
      <c r="AI15" s="1">
        <v>567094</v>
      </c>
      <c r="AJ15" s="1">
        <v>600226</v>
      </c>
      <c r="AK15" s="1">
        <v>584477</v>
      </c>
      <c r="AL15" s="1">
        <v>558078</v>
      </c>
      <c r="AM15" s="1">
        <v>561583</v>
      </c>
      <c r="AN15" s="1">
        <v>605291</v>
      </c>
      <c r="AO15" s="1">
        <v>554944</v>
      </c>
      <c r="AP15" s="1">
        <v>578558</v>
      </c>
      <c r="AQ15" s="1">
        <v>558825</v>
      </c>
      <c r="AR15" s="1">
        <v>558297</v>
      </c>
      <c r="AS15" s="1">
        <v>607941</v>
      </c>
      <c r="AT15" s="1">
        <v>613106</v>
      </c>
      <c r="AU15" s="1">
        <v>613941</v>
      </c>
      <c r="AV15" s="1">
        <v>597129</v>
      </c>
      <c r="AW15" s="1">
        <v>557316</v>
      </c>
      <c r="AX15" s="1">
        <v>530734</v>
      </c>
      <c r="AY15" s="1">
        <v>554776</v>
      </c>
      <c r="AZ15" s="1">
        <v>564278</v>
      </c>
      <c r="BA15" s="1">
        <v>554977</v>
      </c>
      <c r="BB15" s="1">
        <v>588428</v>
      </c>
      <c r="BC15" s="1">
        <v>587709</v>
      </c>
      <c r="BD15" s="1">
        <v>541593</v>
      </c>
      <c r="BE15" s="1">
        <v>532537</v>
      </c>
      <c r="BF15" s="1">
        <v>517487</v>
      </c>
      <c r="BG15" s="1">
        <v>509727</v>
      </c>
      <c r="BH15" s="1">
        <v>533402</v>
      </c>
      <c r="BI15" s="1">
        <v>537377</v>
      </c>
      <c r="BJ15" s="1">
        <v>529389</v>
      </c>
      <c r="BK15" s="1">
        <v>527329</v>
      </c>
      <c r="BL15" s="1">
        <v>548701</v>
      </c>
      <c r="BM15" s="1">
        <v>489930</v>
      </c>
      <c r="BN15" s="1">
        <v>519698</v>
      </c>
      <c r="BO15" s="1">
        <v>515314</v>
      </c>
      <c r="BP15" s="1">
        <v>496720</v>
      </c>
      <c r="BQ15" s="1">
        <v>563718</v>
      </c>
      <c r="BR15" s="1">
        <v>569451</v>
      </c>
      <c r="BS15" s="1">
        <v>555108</v>
      </c>
      <c r="BT15" s="1">
        <v>554245</v>
      </c>
      <c r="BU15" s="1">
        <v>529771</v>
      </c>
      <c r="BV15" s="1">
        <v>511495</v>
      </c>
      <c r="BW15" s="1">
        <v>506773</v>
      </c>
      <c r="BX15" s="1">
        <v>525596</v>
      </c>
      <c r="BY15" s="1">
        <v>539730</v>
      </c>
      <c r="BZ15" s="1">
        <v>341037</v>
      </c>
      <c r="CA15" s="1">
        <v>349303</v>
      </c>
      <c r="CB15" s="1">
        <v>366587</v>
      </c>
      <c r="CC15" s="1">
        <v>389799</v>
      </c>
      <c r="CD15" s="1">
        <v>354683</v>
      </c>
      <c r="CE15" s="1">
        <v>368596</v>
      </c>
      <c r="CF15" s="1">
        <v>389775</v>
      </c>
      <c r="CG15" s="1">
        <v>418644</v>
      </c>
      <c r="CH15" s="1">
        <v>453602</v>
      </c>
      <c r="CI15" s="1">
        <v>450290</v>
      </c>
      <c r="CJ15" s="1">
        <v>459807</v>
      </c>
      <c r="CK15" s="1">
        <v>471173</v>
      </c>
      <c r="CL15" s="1">
        <v>470957</v>
      </c>
      <c r="CM15" s="1">
        <v>427580</v>
      </c>
      <c r="CN15" s="1">
        <v>441463</v>
      </c>
      <c r="CO15" s="1">
        <v>448807</v>
      </c>
      <c r="CP15" s="1">
        <v>465335</v>
      </c>
      <c r="CQ15" s="1">
        <v>456630</v>
      </c>
      <c r="CR15" s="1">
        <v>443333</v>
      </c>
      <c r="CS15" s="1">
        <v>432219</v>
      </c>
      <c r="CT15" s="1">
        <v>417235</v>
      </c>
      <c r="CU15" s="1">
        <v>458347</v>
      </c>
      <c r="CV15" s="1">
        <v>464423</v>
      </c>
      <c r="CW15" s="1">
        <v>471611</v>
      </c>
      <c r="CX15" s="1">
        <v>474886</v>
      </c>
      <c r="CY15" s="1">
        <v>217430</v>
      </c>
      <c r="CZ15" s="1">
        <v>236340</v>
      </c>
      <c r="DA15" s="1">
        <v>245135</v>
      </c>
      <c r="DB15" s="1">
        <v>264208</v>
      </c>
      <c r="DC15" s="1">
        <v>278048</v>
      </c>
      <c r="DD15" s="1">
        <v>284856</v>
      </c>
      <c r="DE15" s="1">
        <v>291337</v>
      </c>
      <c r="DF15" s="1">
        <v>297782</v>
      </c>
      <c r="DG15" s="1">
        <v>338929</v>
      </c>
      <c r="DH15" s="1">
        <v>343861</v>
      </c>
      <c r="DI15" s="1">
        <v>366598</v>
      </c>
      <c r="DJ15" s="1">
        <v>374490</v>
      </c>
      <c r="DK15" s="1">
        <v>364430</v>
      </c>
      <c r="DL15" s="1">
        <v>393086</v>
      </c>
      <c r="DM15" s="1">
        <v>389102</v>
      </c>
      <c r="DN15" s="1">
        <v>418679</v>
      </c>
      <c r="DO15" s="1">
        <v>397175</v>
      </c>
      <c r="DP15" s="1">
        <v>423269</v>
      </c>
      <c r="DQ15" s="1">
        <v>436054</v>
      </c>
      <c r="DR15" s="1">
        <v>435628</v>
      </c>
      <c r="DS15" s="1">
        <v>450217</v>
      </c>
      <c r="DT15" s="1">
        <v>442386</v>
      </c>
      <c r="DU15" s="1">
        <v>435760</v>
      </c>
      <c r="DV15" s="1">
        <v>437394</v>
      </c>
      <c r="DW15" s="1">
        <v>434360</v>
      </c>
      <c r="DX15" s="1">
        <v>710449</v>
      </c>
      <c r="DY15" s="1">
        <v>709851</v>
      </c>
      <c r="DZ15" s="1">
        <v>722084</v>
      </c>
      <c r="EA15" s="1">
        <v>748551</v>
      </c>
      <c r="EB15" s="1">
        <v>824563</v>
      </c>
      <c r="EC15" s="1">
        <v>852533</v>
      </c>
      <c r="ED15" s="1">
        <v>819219</v>
      </c>
      <c r="EE15" s="1">
        <v>804068</v>
      </c>
      <c r="EF15" s="1">
        <v>727678</v>
      </c>
      <c r="EG15" s="1">
        <v>791858</v>
      </c>
      <c r="EH15" s="1">
        <v>820071</v>
      </c>
      <c r="EI15" s="1">
        <v>809941</v>
      </c>
      <c r="EJ15" s="1">
        <v>883739</v>
      </c>
      <c r="EK15" s="1">
        <v>946411</v>
      </c>
      <c r="EL15" s="1">
        <v>952705</v>
      </c>
      <c r="EM15" s="1">
        <v>986799</v>
      </c>
      <c r="EN15" s="1">
        <v>942693</v>
      </c>
      <c r="EO15" s="1">
        <v>901120</v>
      </c>
      <c r="EP15" s="1">
        <v>968286</v>
      </c>
      <c r="EQ15" s="1">
        <v>1041855</v>
      </c>
      <c r="ER15" s="1">
        <v>1137305</v>
      </c>
      <c r="ES15" s="1">
        <v>1179691</v>
      </c>
      <c r="ET15" s="1">
        <v>1203525</v>
      </c>
      <c r="EU15" s="1">
        <v>1257044</v>
      </c>
      <c r="EV15" s="1">
        <v>1301793</v>
      </c>
    </row>
    <row r="16" spans="1:152" x14ac:dyDescent="0.25">
      <c r="A16" s="6">
        <v>3</v>
      </c>
      <c r="B16" t="s">
        <v>64</v>
      </c>
      <c r="C16" s="1">
        <v>2370176</v>
      </c>
      <c r="D16" s="1">
        <v>2407052</v>
      </c>
      <c r="E16" s="1">
        <v>2449664</v>
      </c>
      <c r="F16" s="1">
        <v>2486111</v>
      </c>
      <c r="G16" s="1">
        <v>2517372</v>
      </c>
      <c r="H16" s="1">
        <v>2551753</v>
      </c>
      <c r="I16" s="1">
        <v>2583423</v>
      </c>
      <c r="J16" s="1">
        <v>2620991</v>
      </c>
      <c r="K16" s="1">
        <v>2657812</v>
      </c>
      <c r="L16" s="1">
        <v>2699875</v>
      </c>
      <c r="M16" s="1">
        <v>2731882</v>
      </c>
      <c r="N16" s="1">
        <v>2765889</v>
      </c>
      <c r="O16" s="1">
        <v>2814347</v>
      </c>
      <c r="P16" s="1">
        <v>2841718</v>
      </c>
      <c r="Q16" s="1">
        <v>2877143</v>
      </c>
      <c r="R16" s="1">
        <v>2909828</v>
      </c>
      <c r="S16" s="1">
        <v>2927218</v>
      </c>
      <c r="T16" s="1">
        <v>2958411</v>
      </c>
      <c r="U16" s="1">
        <v>3015887</v>
      </c>
      <c r="V16" s="1">
        <v>3077889</v>
      </c>
      <c r="W16" s="1">
        <v>3131657</v>
      </c>
      <c r="X16" s="1">
        <v>3149234</v>
      </c>
      <c r="Y16" s="1">
        <v>3141213</v>
      </c>
      <c r="Z16" s="1">
        <v>3246420</v>
      </c>
      <c r="AA16" s="1">
        <v>3315046</v>
      </c>
      <c r="AB16" s="1">
        <v>541279</v>
      </c>
      <c r="AC16" s="1">
        <v>538212</v>
      </c>
      <c r="AD16" s="1">
        <v>538841</v>
      </c>
      <c r="AE16" s="1">
        <v>552020</v>
      </c>
      <c r="AF16" s="1">
        <v>560274</v>
      </c>
      <c r="AG16" s="1">
        <v>586149</v>
      </c>
      <c r="AH16" s="1">
        <v>592100</v>
      </c>
      <c r="AI16" s="1">
        <v>597966</v>
      </c>
      <c r="AJ16" s="1">
        <v>608030</v>
      </c>
      <c r="AK16" s="1">
        <v>611895</v>
      </c>
      <c r="AL16" s="1">
        <v>580934</v>
      </c>
      <c r="AM16" s="1">
        <v>625039</v>
      </c>
      <c r="AN16" s="1">
        <v>616412</v>
      </c>
      <c r="AO16" s="1">
        <v>632902</v>
      </c>
      <c r="AP16" s="1">
        <v>549443</v>
      </c>
      <c r="AQ16" s="1">
        <v>588801</v>
      </c>
      <c r="AR16" s="1">
        <v>601415</v>
      </c>
      <c r="AS16" s="1">
        <v>565806</v>
      </c>
      <c r="AT16" s="1">
        <v>584011</v>
      </c>
      <c r="AU16" s="1">
        <v>595951</v>
      </c>
      <c r="AV16" s="1">
        <v>605706</v>
      </c>
      <c r="AW16" s="1">
        <v>594832</v>
      </c>
      <c r="AX16" s="1">
        <v>577267</v>
      </c>
      <c r="AY16" s="1">
        <v>604477</v>
      </c>
      <c r="AZ16" s="1">
        <v>616200</v>
      </c>
      <c r="BA16" s="1">
        <v>618041</v>
      </c>
      <c r="BB16" s="1">
        <v>603891</v>
      </c>
      <c r="BC16" s="1">
        <v>605358</v>
      </c>
      <c r="BD16" s="1">
        <v>596823</v>
      </c>
      <c r="BE16" s="1">
        <v>597757</v>
      </c>
      <c r="BF16" s="1">
        <v>552085</v>
      </c>
      <c r="BG16" s="1">
        <v>590656</v>
      </c>
      <c r="BH16" s="1">
        <v>589666</v>
      </c>
      <c r="BI16" s="1">
        <v>553793</v>
      </c>
      <c r="BJ16" s="1">
        <v>565759</v>
      </c>
      <c r="BK16" s="1">
        <v>531826</v>
      </c>
      <c r="BL16" s="1">
        <v>563754</v>
      </c>
      <c r="BM16" s="1">
        <v>548508</v>
      </c>
      <c r="BN16" s="1">
        <v>531063</v>
      </c>
      <c r="BO16" s="1">
        <v>578335</v>
      </c>
      <c r="BP16" s="1">
        <v>566821</v>
      </c>
      <c r="BQ16" s="1">
        <v>547726</v>
      </c>
      <c r="BR16" s="1">
        <v>551837</v>
      </c>
      <c r="BS16" s="1">
        <v>575391</v>
      </c>
      <c r="BT16" s="1">
        <v>594962</v>
      </c>
      <c r="BU16" s="1">
        <v>577068</v>
      </c>
      <c r="BV16" s="1">
        <v>597736</v>
      </c>
      <c r="BW16" s="1">
        <v>605958</v>
      </c>
      <c r="BX16" s="1">
        <v>629538</v>
      </c>
      <c r="BY16" s="1">
        <v>647789</v>
      </c>
      <c r="BZ16" s="1">
        <v>445113</v>
      </c>
      <c r="CA16" s="1">
        <v>478658</v>
      </c>
      <c r="CB16" s="1">
        <v>475943</v>
      </c>
      <c r="CC16" s="1">
        <v>467205</v>
      </c>
      <c r="CD16" s="1">
        <v>490153</v>
      </c>
      <c r="CE16" s="1">
        <v>489018</v>
      </c>
      <c r="CF16" s="1">
        <v>504461</v>
      </c>
      <c r="CG16" s="1">
        <v>523243</v>
      </c>
      <c r="CH16" s="1">
        <v>533694</v>
      </c>
      <c r="CI16" s="1">
        <v>585087</v>
      </c>
      <c r="CJ16" s="1">
        <v>594102</v>
      </c>
      <c r="CK16" s="1">
        <v>563712</v>
      </c>
      <c r="CL16" s="1">
        <v>561322</v>
      </c>
      <c r="CM16" s="1">
        <v>560221</v>
      </c>
      <c r="CN16" s="1">
        <v>565519</v>
      </c>
      <c r="CO16" s="1">
        <v>547544</v>
      </c>
      <c r="CP16" s="1">
        <v>574849</v>
      </c>
      <c r="CQ16" s="1">
        <v>548564</v>
      </c>
      <c r="CR16" s="1">
        <v>535048</v>
      </c>
      <c r="CS16" s="1">
        <v>526398</v>
      </c>
      <c r="CT16" s="1">
        <v>523048</v>
      </c>
      <c r="CU16" s="1">
        <v>511786</v>
      </c>
      <c r="CV16" s="1">
        <v>504429</v>
      </c>
      <c r="CW16" s="1">
        <v>513167</v>
      </c>
      <c r="CX16" s="1">
        <v>517882</v>
      </c>
      <c r="CY16" s="1">
        <v>232681</v>
      </c>
      <c r="CZ16" s="1">
        <v>248459</v>
      </c>
      <c r="DA16" s="1">
        <v>266195</v>
      </c>
      <c r="DB16" s="1">
        <v>281770</v>
      </c>
      <c r="DC16" s="1">
        <v>286666</v>
      </c>
      <c r="DD16" s="1">
        <v>309602</v>
      </c>
      <c r="DE16" s="1">
        <v>319064</v>
      </c>
      <c r="DF16" s="1">
        <v>326552</v>
      </c>
      <c r="DG16" s="1">
        <v>360225</v>
      </c>
      <c r="DH16" s="1">
        <v>335552</v>
      </c>
      <c r="DI16" s="1">
        <v>374595</v>
      </c>
      <c r="DJ16" s="1">
        <v>394937</v>
      </c>
      <c r="DK16" s="1">
        <v>422101</v>
      </c>
      <c r="DL16" s="1">
        <v>421517</v>
      </c>
      <c r="DM16" s="1">
        <v>434696</v>
      </c>
      <c r="DN16" s="1">
        <v>460119</v>
      </c>
      <c r="DO16" s="1">
        <v>449583</v>
      </c>
      <c r="DP16" s="1">
        <v>463868</v>
      </c>
      <c r="DQ16" s="1">
        <v>462177</v>
      </c>
      <c r="DR16" s="1">
        <v>470201</v>
      </c>
      <c r="DS16" s="1">
        <v>490254</v>
      </c>
      <c r="DT16" s="1">
        <v>526182</v>
      </c>
      <c r="DU16" s="1">
        <v>530556</v>
      </c>
      <c r="DV16" s="1">
        <v>533558</v>
      </c>
      <c r="DW16" s="1">
        <v>531124</v>
      </c>
      <c r="DX16" s="1">
        <v>533061</v>
      </c>
      <c r="DY16" s="1">
        <v>537832</v>
      </c>
      <c r="DZ16" s="1">
        <v>563326</v>
      </c>
      <c r="EA16" s="1">
        <v>588293</v>
      </c>
      <c r="EB16" s="1">
        <v>582522</v>
      </c>
      <c r="EC16" s="1">
        <v>614900</v>
      </c>
      <c r="ED16" s="1">
        <v>577142</v>
      </c>
      <c r="EE16" s="1">
        <v>583564</v>
      </c>
      <c r="EF16" s="1">
        <v>602070</v>
      </c>
      <c r="EG16" s="1">
        <v>601581</v>
      </c>
      <c r="EH16" s="1">
        <v>650424</v>
      </c>
      <c r="EI16" s="1">
        <v>618447</v>
      </c>
      <c r="EJ16" s="1">
        <v>666004</v>
      </c>
      <c r="EK16" s="1">
        <v>696015</v>
      </c>
      <c r="EL16" s="1">
        <v>749150</v>
      </c>
      <c r="EM16" s="1">
        <v>746543</v>
      </c>
      <c r="EN16" s="1">
        <v>753646</v>
      </c>
      <c r="EO16" s="1">
        <v>828336</v>
      </c>
      <c r="EP16" s="1">
        <v>859259</v>
      </c>
      <c r="EQ16" s="1">
        <v>890377</v>
      </c>
      <c r="ER16" s="1">
        <v>935581</v>
      </c>
      <c r="ES16" s="1">
        <v>918699</v>
      </c>
      <c r="ET16" s="1">
        <v>923004</v>
      </c>
      <c r="EU16" s="1">
        <v>965680</v>
      </c>
      <c r="EV16" s="1">
        <v>1002052</v>
      </c>
    </row>
    <row r="17" spans="1:152" x14ac:dyDescent="0.25">
      <c r="A17" s="6">
        <v>4</v>
      </c>
      <c r="B17" t="s">
        <v>65</v>
      </c>
      <c r="C17" s="1">
        <v>2370176</v>
      </c>
      <c r="D17" s="1">
        <v>2407052</v>
      </c>
      <c r="E17" s="1">
        <v>2449664</v>
      </c>
      <c r="F17" s="1">
        <v>2486111</v>
      </c>
      <c r="G17" s="1">
        <v>2517372</v>
      </c>
      <c r="H17" s="1">
        <v>2551753</v>
      </c>
      <c r="I17" s="1">
        <v>2583423</v>
      </c>
      <c r="J17" s="1">
        <v>2620991</v>
      </c>
      <c r="K17" s="1">
        <v>2657812</v>
      </c>
      <c r="L17" s="1">
        <v>2699875</v>
      </c>
      <c r="M17" s="1">
        <v>2731882</v>
      </c>
      <c r="N17" s="1">
        <v>2765889</v>
      </c>
      <c r="O17" s="1">
        <v>2814347</v>
      </c>
      <c r="P17" s="1">
        <v>2841718</v>
      </c>
      <c r="Q17" s="1">
        <v>2877143</v>
      </c>
      <c r="R17" s="1">
        <v>2909828</v>
      </c>
      <c r="S17" s="1">
        <v>2927218</v>
      </c>
      <c r="T17" s="1">
        <v>2958411</v>
      </c>
      <c r="U17" s="1">
        <v>3015887</v>
      </c>
      <c r="V17" s="1">
        <v>3077889</v>
      </c>
      <c r="W17" s="1">
        <v>3131657</v>
      </c>
      <c r="X17" s="1">
        <v>3149234</v>
      </c>
      <c r="Y17" s="1">
        <v>3141213</v>
      </c>
      <c r="Z17" s="1">
        <v>3246420</v>
      </c>
      <c r="AA17" s="1">
        <v>3315046</v>
      </c>
      <c r="AB17" s="1">
        <v>530429</v>
      </c>
      <c r="AC17" s="1">
        <v>562177</v>
      </c>
      <c r="AD17" s="1">
        <v>546297</v>
      </c>
      <c r="AE17" s="1">
        <v>550253</v>
      </c>
      <c r="AF17" s="1">
        <v>562768</v>
      </c>
      <c r="AG17" s="1">
        <v>577164</v>
      </c>
      <c r="AH17" s="1">
        <v>563594</v>
      </c>
      <c r="AI17" s="1">
        <v>555989</v>
      </c>
      <c r="AJ17" s="1">
        <v>562716</v>
      </c>
      <c r="AK17" s="1">
        <v>572111</v>
      </c>
      <c r="AL17" s="1">
        <v>561196</v>
      </c>
      <c r="AM17" s="1">
        <v>543560</v>
      </c>
      <c r="AN17" s="1">
        <v>570915</v>
      </c>
      <c r="AO17" s="1">
        <v>594649</v>
      </c>
      <c r="AP17" s="1">
        <v>545992</v>
      </c>
      <c r="AQ17" s="1">
        <v>550542</v>
      </c>
      <c r="AR17" s="1">
        <v>549973</v>
      </c>
      <c r="AS17" s="1">
        <v>558597</v>
      </c>
      <c r="AT17" s="1">
        <v>589404</v>
      </c>
      <c r="AU17" s="1">
        <v>612263</v>
      </c>
      <c r="AV17" s="1">
        <v>630765</v>
      </c>
      <c r="AW17" s="1">
        <v>630626</v>
      </c>
      <c r="AX17" s="1">
        <v>621014</v>
      </c>
      <c r="AY17" s="1">
        <v>651511</v>
      </c>
      <c r="AZ17" s="1">
        <v>665581</v>
      </c>
      <c r="BA17" s="1">
        <v>644253</v>
      </c>
      <c r="BB17" s="1">
        <v>643214</v>
      </c>
      <c r="BC17" s="1">
        <v>627378</v>
      </c>
      <c r="BD17" s="1">
        <v>630347</v>
      </c>
      <c r="BE17" s="1">
        <v>608330</v>
      </c>
      <c r="BF17" s="1">
        <v>611666</v>
      </c>
      <c r="BG17" s="1">
        <v>612972</v>
      </c>
      <c r="BH17" s="1">
        <v>602721</v>
      </c>
      <c r="BI17" s="1">
        <v>590450</v>
      </c>
      <c r="BJ17" s="1">
        <v>558564</v>
      </c>
      <c r="BK17" s="1">
        <v>574197</v>
      </c>
      <c r="BL17" s="1">
        <v>597499</v>
      </c>
      <c r="BM17" s="1">
        <v>604652</v>
      </c>
      <c r="BN17" s="1">
        <v>577875</v>
      </c>
      <c r="BO17" s="1">
        <v>532021</v>
      </c>
      <c r="BP17" s="1">
        <v>596051</v>
      </c>
      <c r="BQ17" s="1">
        <v>590170</v>
      </c>
      <c r="BR17" s="1">
        <v>555395</v>
      </c>
      <c r="BS17" s="1">
        <v>588437</v>
      </c>
      <c r="BT17" s="1">
        <v>596356</v>
      </c>
      <c r="BU17" s="1">
        <v>619379</v>
      </c>
      <c r="BV17" s="1">
        <v>611750</v>
      </c>
      <c r="BW17" s="1">
        <v>610315</v>
      </c>
      <c r="BX17" s="1">
        <v>635188</v>
      </c>
      <c r="BY17" s="1">
        <v>654940</v>
      </c>
      <c r="BZ17" s="1">
        <v>531936</v>
      </c>
      <c r="CA17" s="1">
        <v>542855</v>
      </c>
      <c r="CB17" s="1">
        <v>574214</v>
      </c>
      <c r="CC17" s="1">
        <v>601839</v>
      </c>
      <c r="CD17" s="1">
        <v>584410</v>
      </c>
      <c r="CE17" s="1">
        <v>609248</v>
      </c>
      <c r="CF17" s="1">
        <v>646644</v>
      </c>
      <c r="CG17" s="1">
        <v>652287</v>
      </c>
      <c r="CH17" s="1">
        <v>651634</v>
      </c>
      <c r="CI17" s="1">
        <v>686054</v>
      </c>
      <c r="CJ17" s="1">
        <v>651974</v>
      </c>
      <c r="CK17" s="1">
        <v>680606</v>
      </c>
      <c r="CL17" s="1">
        <v>691762</v>
      </c>
      <c r="CM17" s="1">
        <v>672448</v>
      </c>
      <c r="CN17" s="1">
        <v>708970</v>
      </c>
      <c r="CO17" s="1">
        <v>663426</v>
      </c>
      <c r="CP17" s="1">
        <v>625442</v>
      </c>
      <c r="CQ17" s="1">
        <v>640573</v>
      </c>
      <c r="CR17" s="1">
        <v>632038</v>
      </c>
      <c r="CS17" s="1">
        <v>623485</v>
      </c>
      <c r="CT17" s="1">
        <v>617137</v>
      </c>
      <c r="CU17" s="1">
        <v>603883</v>
      </c>
      <c r="CV17" s="1">
        <v>592198</v>
      </c>
      <c r="CW17" s="1">
        <v>603500</v>
      </c>
      <c r="CX17" s="1">
        <v>610317</v>
      </c>
      <c r="CY17" s="1">
        <v>283790</v>
      </c>
      <c r="CZ17" s="1">
        <v>287931</v>
      </c>
      <c r="DA17" s="1">
        <v>308497</v>
      </c>
      <c r="DB17" s="1">
        <v>307620</v>
      </c>
      <c r="DC17" s="1">
        <v>355314</v>
      </c>
      <c r="DD17" s="1">
        <v>366415</v>
      </c>
      <c r="DE17" s="1">
        <v>365901</v>
      </c>
      <c r="DF17" s="1">
        <v>386254</v>
      </c>
      <c r="DG17" s="1">
        <v>391026</v>
      </c>
      <c r="DH17" s="1">
        <v>411083</v>
      </c>
      <c r="DI17" s="1">
        <v>451182</v>
      </c>
      <c r="DJ17" s="1">
        <v>439467</v>
      </c>
      <c r="DK17" s="1">
        <v>452698</v>
      </c>
      <c r="DL17" s="1">
        <v>486714</v>
      </c>
      <c r="DM17" s="1">
        <v>528010</v>
      </c>
      <c r="DN17" s="1">
        <v>570384</v>
      </c>
      <c r="DO17" s="1">
        <v>532511</v>
      </c>
      <c r="DP17" s="1">
        <v>578884</v>
      </c>
      <c r="DQ17" s="1">
        <v>595275</v>
      </c>
      <c r="DR17" s="1">
        <v>613143</v>
      </c>
      <c r="DS17" s="1">
        <v>619733</v>
      </c>
      <c r="DT17" s="1">
        <v>618913</v>
      </c>
      <c r="DU17" s="1">
        <v>610958</v>
      </c>
      <c r="DV17" s="1">
        <v>615481</v>
      </c>
      <c r="DW17" s="1">
        <v>613985</v>
      </c>
      <c r="DX17" s="1">
        <v>379768</v>
      </c>
      <c r="DY17" s="1">
        <v>370875</v>
      </c>
      <c r="DZ17" s="1">
        <v>393278</v>
      </c>
      <c r="EA17" s="1">
        <v>396052</v>
      </c>
      <c r="EB17" s="1">
        <v>406550</v>
      </c>
      <c r="EC17" s="1">
        <v>387260</v>
      </c>
      <c r="ED17" s="1">
        <v>394312</v>
      </c>
      <c r="EE17" s="1">
        <v>423741</v>
      </c>
      <c r="EF17" s="1">
        <v>461985</v>
      </c>
      <c r="EG17" s="1">
        <v>472064</v>
      </c>
      <c r="EH17" s="1">
        <v>493333</v>
      </c>
      <c r="EI17" s="1">
        <v>504757</v>
      </c>
      <c r="EJ17" s="1">
        <v>494320</v>
      </c>
      <c r="EK17" s="1">
        <v>510033</v>
      </c>
      <c r="EL17" s="1">
        <v>562150</v>
      </c>
      <c r="EM17" s="1">
        <v>529424</v>
      </c>
      <c r="EN17" s="1">
        <v>629122</v>
      </c>
      <c r="EO17" s="1">
        <v>624963</v>
      </c>
      <c r="EP17" s="1">
        <v>610734</v>
      </c>
      <c r="EQ17" s="1">
        <v>632642</v>
      </c>
      <c r="ER17" s="1">
        <v>644643</v>
      </c>
      <c r="ES17" s="1">
        <v>684063</v>
      </c>
      <c r="ET17" s="1">
        <v>706728</v>
      </c>
      <c r="EU17" s="1">
        <v>740741</v>
      </c>
      <c r="EV17" s="1">
        <v>770221</v>
      </c>
    </row>
    <row r="18" spans="1:152" x14ac:dyDescent="0.25">
      <c r="A18" s="6">
        <v>5</v>
      </c>
      <c r="B18" t="s">
        <v>66</v>
      </c>
      <c r="C18" s="1">
        <v>2370176</v>
      </c>
      <c r="D18" s="1">
        <v>2407052</v>
      </c>
      <c r="E18" s="1">
        <v>2449664</v>
      </c>
      <c r="F18" s="1">
        <v>2486111</v>
      </c>
      <c r="G18" s="1">
        <v>2517372</v>
      </c>
      <c r="H18" s="1">
        <v>2551753</v>
      </c>
      <c r="I18" s="1">
        <v>2583423</v>
      </c>
      <c r="J18" s="1">
        <v>2620991</v>
      </c>
      <c r="K18" s="1">
        <v>2657812</v>
      </c>
      <c r="L18" s="1">
        <v>2699875</v>
      </c>
      <c r="M18" s="1">
        <v>2731882</v>
      </c>
      <c r="N18" s="1">
        <v>2765889</v>
      </c>
      <c r="O18" s="1">
        <v>2814347</v>
      </c>
      <c r="P18" s="1">
        <v>2841718</v>
      </c>
      <c r="Q18" s="1">
        <v>2877143</v>
      </c>
      <c r="R18" s="1">
        <v>2909828</v>
      </c>
      <c r="S18" s="1">
        <v>2927218</v>
      </c>
      <c r="T18" s="1">
        <v>2958411</v>
      </c>
      <c r="U18" s="1">
        <v>3015887</v>
      </c>
      <c r="V18" s="1">
        <v>3077889</v>
      </c>
      <c r="W18" s="1">
        <v>3131657</v>
      </c>
      <c r="X18" s="1">
        <v>3149234</v>
      </c>
      <c r="Y18" s="1">
        <v>3141213</v>
      </c>
      <c r="Z18" s="1">
        <v>3246420</v>
      </c>
      <c r="AA18" s="1">
        <v>3315046</v>
      </c>
      <c r="AB18" s="1">
        <v>420461</v>
      </c>
      <c r="AC18" s="1">
        <v>454484</v>
      </c>
      <c r="AD18" s="1">
        <v>469160</v>
      </c>
      <c r="AE18" s="1">
        <v>474425</v>
      </c>
      <c r="AF18" s="1">
        <v>467719</v>
      </c>
      <c r="AG18" s="1">
        <v>483457</v>
      </c>
      <c r="AH18" s="1">
        <v>455413</v>
      </c>
      <c r="AI18" s="1">
        <v>481914</v>
      </c>
      <c r="AJ18" s="1">
        <v>457422</v>
      </c>
      <c r="AK18" s="1">
        <v>488422</v>
      </c>
      <c r="AL18" s="1">
        <v>468068</v>
      </c>
      <c r="AM18" s="1">
        <v>508591</v>
      </c>
      <c r="AN18" s="1">
        <v>501836</v>
      </c>
      <c r="AO18" s="1">
        <v>453151</v>
      </c>
      <c r="AP18" s="1">
        <v>470603</v>
      </c>
      <c r="AQ18" s="1">
        <v>445693</v>
      </c>
      <c r="AR18" s="1">
        <v>487413</v>
      </c>
      <c r="AS18" s="1">
        <v>469099</v>
      </c>
      <c r="AT18" s="1">
        <v>489296</v>
      </c>
      <c r="AU18" s="1">
        <v>497770</v>
      </c>
      <c r="AV18" s="1">
        <v>506394</v>
      </c>
      <c r="AW18" s="1">
        <v>512341</v>
      </c>
      <c r="AX18" s="1">
        <v>506317</v>
      </c>
      <c r="AY18" s="1">
        <v>532490</v>
      </c>
      <c r="AZ18" s="1">
        <v>544944</v>
      </c>
      <c r="BA18" s="1">
        <v>603216</v>
      </c>
      <c r="BB18" s="1">
        <v>618203</v>
      </c>
      <c r="BC18" s="1">
        <v>617089</v>
      </c>
      <c r="BD18" s="1">
        <v>634103</v>
      </c>
      <c r="BE18" s="1">
        <v>623558</v>
      </c>
      <c r="BF18" s="1">
        <v>615046</v>
      </c>
      <c r="BG18" s="1">
        <v>598350</v>
      </c>
      <c r="BH18" s="1">
        <v>566999</v>
      </c>
      <c r="BI18" s="1">
        <v>577553</v>
      </c>
      <c r="BJ18" s="1">
        <v>604091</v>
      </c>
      <c r="BK18" s="1">
        <v>579922</v>
      </c>
      <c r="BL18" s="1">
        <v>544632</v>
      </c>
      <c r="BM18" s="1">
        <v>602400</v>
      </c>
      <c r="BN18" s="1">
        <v>511866</v>
      </c>
      <c r="BO18" s="1">
        <v>514371</v>
      </c>
      <c r="BP18" s="1">
        <v>580099</v>
      </c>
      <c r="BQ18" s="1">
        <v>524659</v>
      </c>
      <c r="BR18" s="1">
        <v>518735</v>
      </c>
      <c r="BS18" s="1">
        <v>538317</v>
      </c>
      <c r="BT18" s="1">
        <v>555764</v>
      </c>
      <c r="BU18" s="1">
        <v>582726</v>
      </c>
      <c r="BV18" s="1">
        <v>594603</v>
      </c>
      <c r="BW18" s="1">
        <v>601434</v>
      </c>
      <c r="BX18" s="1">
        <v>627388</v>
      </c>
      <c r="BY18" s="1">
        <v>647983</v>
      </c>
      <c r="BZ18" s="1">
        <v>594586</v>
      </c>
      <c r="CA18" s="1">
        <v>617032</v>
      </c>
      <c r="CB18" s="1">
        <v>644555</v>
      </c>
      <c r="CC18" s="1">
        <v>673303</v>
      </c>
      <c r="CD18" s="1">
        <v>715510</v>
      </c>
      <c r="CE18" s="1">
        <v>717222</v>
      </c>
      <c r="CF18" s="1">
        <v>754524</v>
      </c>
      <c r="CG18" s="1">
        <v>757791</v>
      </c>
      <c r="CH18" s="1">
        <v>743544</v>
      </c>
      <c r="CI18" s="1">
        <v>741112</v>
      </c>
      <c r="CJ18" s="1">
        <v>719700</v>
      </c>
      <c r="CK18" s="1">
        <v>718556</v>
      </c>
      <c r="CL18" s="1">
        <v>741882</v>
      </c>
      <c r="CM18" s="1">
        <v>760114</v>
      </c>
      <c r="CN18" s="1">
        <v>746011</v>
      </c>
      <c r="CO18" s="1">
        <v>692522</v>
      </c>
      <c r="CP18" s="1">
        <v>676980</v>
      </c>
      <c r="CQ18" s="1">
        <v>668954</v>
      </c>
      <c r="CR18" s="1">
        <v>660253</v>
      </c>
      <c r="CS18" s="1">
        <v>654229</v>
      </c>
      <c r="CT18" s="1">
        <v>655824</v>
      </c>
      <c r="CU18" s="1">
        <v>612734</v>
      </c>
      <c r="CV18" s="1">
        <v>595645</v>
      </c>
      <c r="CW18" s="1">
        <v>608366</v>
      </c>
      <c r="CX18" s="1">
        <v>616272</v>
      </c>
      <c r="CY18" s="1">
        <v>367469</v>
      </c>
      <c r="CZ18" s="1">
        <v>347317</v>
      </c>
      <c r="DA18" s="1">
        <v>358381</v>
      </c>
      <c r="DB18" s="1">
        <v>362527</v>
      </c>
      <c r="DC18" s="1">
        <v>390686</v>
      </c>
      <c r="DD18" s="1">
        <v>421078</v>
      </c>
      <c r="DE18" s="1">
        <v>456834</v>
      </c>
      <c r="DF18" s="1">
        <v>465553</v>
      </c>
      <c r="DG18" s="1">
        <v>480867</v>
      </c>
      <c r="DH18" s="1">
        <v>481313</v>
      </c>
      <c r="DI18" s="1">
        <v>525735</v>
      </c>
      <c r="DJ18" s="1">
        <v>545460</v>
      </c>
      <c r="DK18" s="1">
        <v>567530</v>
      </c>
      <c r="DL18" s="1">
        <v>639407</v>
      </c>
      <c r="DM18" s="1">
        <v>638649</v>
      </c>
      <c r="DN18" s="1">
        <v>694714</v>
      </c>
      <c r="DO18" s="1">
        <v>684337</v>
      </c>
      <c r="DP18" s="1">
        <v>696342</v>
      </c>
      <c r="DQ18" s="1">
        <v>720047</v>
      </c>
      <c r="DR18" s="1">
        <v>741699</v>
      </c>
      <c r="DS18" s="1">
        <v>753229</v>
      </c>
      <c r="DT18" s="1">
        <v>788106</v>
      </c>
      <c r="DU18" s="1">
        <v>790806</v>
      </c>
      <c r="DV18" s="1">
        <v>798424</v>
      </c>
      <c r="DW18" s="1">
        <v>797839</v>
      </c>
      <c r="DX18" s="1">
        <v>384443</v>
      </c>
      <c r="DY18" s="1">
        <v>370016</v>
      </c>
      <c r="DZ18" s="1">
        <v>360479</v>
      </c>
      <c r="EA18" s="1">
        <v>341753</v>
      </c>
      <c r="EB18" s="1">
        <v>319899</v>
      </c>
      <c r="EC18" s="1">
        <v>314950</v>
      </c>
      <c r="ED18" s="1">
        <v>318301</v>
      </c>
      <c r="EE18" s="1">
        <v>348733</v>
      </c>
      <c r="EF18" s="1">
        <v>398427</v>
      </c>
      <c r="EG18" s="1">
        <v>384938</v>
      </c>
      <c r="EH18" s="1">
        <v>438456</v>
      </c>
      <c r="EI18" s="1">
        <v>448649</v>
      </c>
      <c r="EJ18" s="1">
        <v>400699</v>
      </c>
      <c r="EK18" s="1">
        <v>477181</v>
      </c>
      <c r="EL18" s="1">
        <v>507508</v>
      </c>
      <c r="EM18" s="1">
        <v>496799</v>
      </c>
      <c r="EN18" s="1">
        <v>553829</v>
      </c>
      <c r="EO18" s="1">
        <v>605281</v>
      </c>
      <c r="EP18" s="1">
        <v>607975</v>
      </c>
      <c r="EQ18" s="1">
        <v>628427</v>
      </c>
      <c r="ER18" s="1">
        <v>633485</v>
      </c>
      <c r="ES18" s="1">
        <v>641450</v>
      </c>
      <c r="ET18" s="1">
        <v>647011</v>
      </c>
      <c r="EU18" s="1">
        <v>679752</v>
      </c>
      <c r="EV18" s="1">
        <v>708008</v>
      </c>
    </row>
    <row r="23" spans="1:152" x14ac:dyDescent="0.25">
      <c r="B23" t="s">
        <v>41</v>
      </c>
    </row>
    <row r="24" spans="1:152" x14ac:dyDescent="0.25">
      <c r="B24">
        <v>1</v>
      </c>
      <c r="C24" t="s">
        <v>61</v>
      </c>
    </row>
    <row r="25" spans="1:152" x14ac:dyDescent="0.25">
      <c r="B25">
        <v>2</v>
      </c>
      <c r="C25" t="s">
        <v>42</v>
      </c>
      <c r="D25" t="s">
        <v>43</v>
      </c>
      <c r="E25" t="s">
        <v>44</v>
      </c>
    </row>
    <row r="29" spans="1:152" x14ac:dyDescent="0.25">
      <c r="B29" t="s">
        <v>54</v>
      </c>
    </row>
    <row r="30" spans="1:152" x14ac:dyDescent="0.25">
      <c r="B30" t="s">
        <v>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45"/>
  <sheetViews>
    <sheetView workbookViewId="0">
      <selection activeCell="M12" sqref="M12"/>
    </sheetView>
  </sheetViews>
  <sheetFormatPr defaultRowHeight="15" x14ac:dyDescent="0.25"/>
  <sheetData>
    <row r="1" spans="1:26" x14ac:dyDescent="0.25">
      <c r="A1" t="s">
        <v>125</v>
      </c>
    </row>
    <row r="2" spans="1:26" x14ac:dyDescent="0.25">
      <c r="A2" t="s">
        <v>1</v>
      </c>
    </row>
    <row r="3" spans="1:26" x14ac:dyDescent="0.25">
      <c r="A3" t="s">
        <v>126</v>
      </c>
    </row>
    <row r="4" spans="1:26" x14ac:dyDescent="0.25">
      <c r="A4" t="s">
        <v>127</v>
      </c>
    </row>
    <row r="5" spans="1:26" x14ac:dyDescent="0.25">
      <c r="A5" t="s">
        <v>128</v>
      </c>
    </row>
    <row r="9" spans="1:26" x14ac:dyDescent="0.25">
      <c r="A9" t="s">
        <v>5</v>
      </c>
      <c r="B9" t="s">
        <v>6</v>
      </c>
    </row>
    <row r="10" spans="1:26" x14ac:dyDescent="0.25">
      <c r="A10" t="s">
        <v>129</v>
      </c>
      <c r="B10">
        <v>1999</v>
      </c>
      <c r="C10">
        <v>2000</v>
      </c>
      <c r="D10">
        <v>2001</v>
      </c>
      <c r="E10">
        <v>2002</v>
      </c>
      <c r="F10">
        <v>2003</v>
      </c>
      <c r="G10">
        <v>2004</v>
      </c>
      <c r="H10">
        <v>2005</v>
      </c>
      <c r="I10">
        <v>2006</v>
      </c>
      <c r="J10">
        <v>2007</v>
      </c>
      <c r="K10">
        <v>2008</v>
      </c>
      <c r="L10">
        <v>2009</v>
      </c>
      <c r="M10">
        <v>2010</v>
      </c>
      <c r="N10">
        <v>2011</v>
      </c>
      <c r="O10">
        <v>2012</v>
      </c>
      <c r="P10">
        <v>2013</v>
      </c>
      <c r="Q10">
        <v>2014</v>
      </c>
      <c r="R10">
        <v>2015</v>
      </c>
      <c r="S10">
        <v>2016</v>
      </c>
      <c r="T10">
        <v>2017</v>
      </c>
      <c r="U10">
        <v>2018</v>
      </c>
      <c r="V10">
        <v>2019</v>
      </c>
      <c r="W10">
        <v>2020</v>
      </c>
      <c r="X10">
        <v>2021</v>
      </c>
      <c r="Y10">
        <v>2022</v>
      </c>
      <c r="Z10">
        <v>2023</v>
      </c>
    </row>
    <row r="11" spans="1:26" x14ac:dyDescent="0.25">
      <c r="B11" t="s">
        <v>130</v>
      </c>
    </row>
    <row r="12" spans="1:26" x14ac:dyDescent="0.25">
      <c r="A12" t="s">
        <v>131</v>
      </c>
      <c r="B12">
        <v>92.9</v>
      </c>
      <c r="C12">
        <v>95.4</v>
      </c>
      <c r="D12">
        <v>97.8</v>
      </c>
      <c r="E12">
        <v>100</v>
      </c>
      <c r="F12">
        <v>102.8</v>
      </c>
      <c r="G12">
        <v>104.7</v>
      </c>
      <c r="H12">
        <v>107</v>
      </c>
      <c r="I12">
        <v>109.1</v>
      </c>
      <c r="J12">
        <v>111.5</v>
      </c>
      <c r="K12">
        <v>114.1</v>
      </c>
      <c r="L12">
        <v>114.4</v>
      </c>
      <c r="M12">
        <v>116.5</v>
      </c>
      <c r="N12">
        <v>119.9</v>
      </c>
      <c r="O12">
        <v>121.7</v>
      </c>
      <c r="P12">
        <v>122.8</v>
      </c>
      <c r="Q12">
        <v>125.2</v>
      </c>
      <c r="R12">
        <v>126.6</v>
      </c>
      <c r="S12">
        <v>128.4</v>
      </c>
      <c r="T12">
        <v>130.4</v>
      </c>
      <c r="U12">
        <v>133.4</v>
      </c>
      <c r="V12">
        <v>136</v>
      </c>
      <c r="W12">
        <v>137</v>
      </c>
      <c r="X12">
        <v>141.6</v>
      </c>
      <c r="Y12">
        <v>151.19999999999999</v>
      </c>
      <c r="Z12">
        <v>157.1</v>
      </c>
    </row>
    <row r="13" spans="1:26" x14ac:dyDescent="0.25">
      <c r="A13" t="s">
        <v>132</v>
      </c>
      <c r="B13">
        <v>92</v>
      </c>
      <c r="C13">
        <v>93.3</v>
      </c>
      <c r="D13">
        <v>97.4</v>
      </c>
      <c r="E13">
        <v>100</v>
      </c>
      <c r="F13">
        <v>101.7</v>
      </c>
      <c r="G13">
        <v>103.8</v>
      </c>
      <c r="H13">
        <v>106.4</v>
      </c>
      <c r="I13">
        <v>108.9</v>
      </c>
      <c r="J13">
        <v>111.8</v>
      </c>
      <c r="K13">
        <v>115.7</v>
      </c>
      <c r="L13">
        <v>121.4</v>
      </c>
      <c r="M13">
        <v>123.1</v>
      </c>
      <c r="N13">
        <v>127.7</v>
      </c>
      <c r="O13">
        <v>130.80000000000001</v>
      </c>
      <c r="P13">
        <v>132.4</v>
      </c>
      <c r="Q13">
        <v>135.5</v>
      </c>
      <c r="R13">
        <v>140.5</v>
      </c>
      <c r="S13">
        <v>142.6</v>
      </c>
      <c r="T13">
        <v>142.69999999999999</v>
      </c>
      <c r="U13">
        <v>145.30000000000001</v>
      </c>
      <c r="V13">
        <v>150.19999999999999</v>
      </c>
      <c r="W13">
        <v>153.69999999999999</v>
      </c>
      <c r="X13">
        <v>157.5</v>
      </c>
      <c r="Y13">
        <v>171.5</v>
      </c>
      <c r="Z13">
        <v>184.3</v>
      </c>
    </row>
    <row r="14" spans="1:26" x14ac:dyDescent="0.25">
      <c r="A14" t="s">
        <v>133</v>
      </c>
      <c r="B14">
        <v>92.3</v>
      </c>
      <c r="C14">
        <v>95.6</v>
      </c>
      <c r="D14">
        <v>99.1</v>
      </c>
      <c r="E14">
        <v>100</v>
      </c>
      <c r="F14">
        <v>103.2</v>
      </c>
      <c r="G14">
        <v>105.8</v>
      </c>
      <c r="H14">
        <v>109.2</v>
      </c>
      <c r="I14">
        <v>113.1</v>
      </c>
      <c r="J14">
        <v>116.9</v>
      </c>
      <c r="K14">
        <v>122</v>
      </c>
      <c r="L14">
        <v>121.6</v>
      </c>
      <c r="M14">
        <v>123.3</v>
      </c>
      <c r="N14">
        <v>125.6</v>
      </c>
      <c r="O14">
        <v>127.1</v>
      </c>
      <c r="P14">
        <v>128.69999999999999</v>
      </c>
      <c r="Q14">
        <v>132.19999999999999</v>
      </c>
      <c r="R14">
        <v>133.69999999999999</v>
      </c>
      <c r="S14">
        <v>135.80000000000001</v>
      </c>
      <c r="T14">
        <v>138.1</v>
      </c>
      <c r="U14">
        <v>140.9</v>
      </c>
      <c r="V14">
        <v>144.5</v>
      </c>
      <c r="W14">
        <v>147</v>
      </c>
      <c r="X14">
        <v>152.69999999999999</v>
      </c>
      <c r="Y14">
        <v>163.30000000000001</v>
      </c>
      <c r="Z14">
        <v>172.5</v>
      </c>
    </row>
    <row r="15" spans="1:26" x14ac:dyDescent="0.25">
      <c r="A15" t="s">
        <v>134</v>
      </c>
      <c r="B15">
        <v>95.8</v>
      </c>
      <c r="C15">
        <v>96.7</v>
      </c>
      <c r="D15">
        <v>98.6</v>
      </c>
      <c r="E15">
        <v>100</v>
      </c>
      <c r="F15">
        <v>100.7</v>
      </c>
      <c r="G15">
        <v>101.2</v>
      </c>
      <c r="H15">
        <v>101.7</v>
      </c>
      <c r="I15">
        <v>102.2</v>
      </c>
      <c r="J15">
        <v>103.2</v>
      </c>
      <c r="K15">
        <v>104.6</v>
      </c>
      <c r="L15">
        <v>107.3</v>
      </c>
      <c r="M15">
        <v>108.8</v>
      </c>
      <c r="N15">
        <v>110.9</v>
      </c>
      <c r="O15">
        <v>113</v>
      </c>
      <c r="P15">
        <v>114.4</v>
      </c>
      <c r="Q15">
        <v>116.6</v>
      </c>
      <c r="R15">
        <v>119.7</v>
      </c>
      <c r="S15">
        <v>121.7</v>
      </c>
      <c r="T15">
        <v>121.9</v>
      </c>
      <c r="U15">
        <v>123.2</v>
      </c>
      <c r="V15">
        <v>123.6</v>
      </c>
      <c r="W15">
        <v>123.8</v>
      </c>
      <c r="X15">
        <v>125.2</v>
      </c>
      <c r="Y15">
        <v>130.9</v>
      </c>
      <c r="Z15">
        <v>132</v>
      </c>
    </row>
    <row r="16" spans="1:26" x14ac:dyDescent="0.25">
      <c r="A16" t="s">
        <v>28</v>
      </c>
      <c r="B16">
        <v>100.1</v>
      </c>
      <c r="C16">
        <v>100.3</v>
      </c>
      <c r="D16">
        <v>100.7</v>
      </c>
      <c r="E16">
        <v>100</v>
      </c>
      <c r="F16">
        <v>98.2</v>
      </c>
      <c r="G16">
        <v>98</v>
      </c>
      <c r="H16">
        <v>97.6</v>
      </c>
      <c r="I16">
        <v>95.8</v>
      </c>
      <c r="J16">
        <v>95.7</v>
      </c>
      <c r="K16">
        <v>93.8</v>
      </c>
      <c r="L16">
        <v>93.4</v>
      </c>
      <c r="M16">
        <v>91.6</v>
      </c>
      <c r="N16">
        <v>91.9</v>
      </c>
      <c r="O16">
        <v>92</v>
      </c>
      <c r="P16">
        <v>92.1</v>
      </c>
      <c r="Q16">
        <v>93.2</v>
      </c>
      <c r="R16">
        <v>94.6</v>
      </c>
      <c r="S16">
        <v>94.4</v>
      </c>
      <c r="T16">
        <v>93.7</v>
      </c>
      <c r="U16">
        <v>94.5</v>
      </c>
      <c r="V16">
        <v>96.1</v>
      </c>
      <c r="W16">
        <v>94.4</v>
      </c>
      <c r="X16">
        <v>94.1</v>
      </c>
      <c r="Y16">
        <v>95.4</v>
      </c>
      <c r="Z16">
        <v>96.4</v>
      </c>
    </row>
    <row r="17" spans="1:26" x14ac:dyDescent="0.25">
      <c r="A17" t="s">
        <v>135</v>
      </c>
      <c r="B17">
        <v>92.6</v>
      </c>
      <c r="C17">
        <v>97.2</v>
      </c>
      <c r="D17">
        <v>97.3</v>
      </c>
      <c r="E17">
        <v>100</v>
      </c>
      <c r="F17">
        <v>105.2</v>
      </c>
      <c r="G17">
        <v>107.7</v>
      </c>
      <c r="H17">
        <v>112</v>
      </c>
      <c r="I17">
        <v>115.2</v>
      </c>
      <c r="J17">
        <v>117.1</v>
      </c>
      <c r="K17">
        <v>119.5</v>
      </c>
      <c r="L17">
        <v>113.1</v>
      </c>
      <c r="M17">
        <v>118</v>
      </c>
      <c r="N17">
        <v>125.6</v>
      </c>
      <c r="O17">
        <v>128.1</v>
      </c>
      <c r="P17">
        <v>129</v>
      </c>
      <c r="Q17">
        <v>130.4</v>
      </c>
      <c r="R17">
        <v>126.5</v>
      </c>
      <c r="S17">
        <v>127.9</v>
      </c>
      <c r="T17">
        <v>132.9</v>
      </c>
      <c r="U17">
        <v>139.1</v>
      </c>
      <c r="V17">
        <v>141.5</v>
      </c>
      <c r="W17">
        <v>141.19999999999999</v>
      </c>
      <c r="X17">
        <v>151.4</v>
      </c>
      <c r="Y17">
        <v>167.5</v>
      </c>
      <c r="Z17">
        <v>169</v>
      </c>
    </row>
    <row r="18" spans="1:26" x14ac:dyDescent="0.25">
      <c r="A18" t="s">
        <v>136</v>
      </c>
      <c r="B18">
        <v>84.9</v>
      </c>
      <c r="C18">
        <v>103.5</v>
      </c>
      <c r="D18">
        <v>100.8</v>
      </c>
      <c r="E18">
        <v>100</v>
      </c>
      <c r="F18">
        <v>106.4</v>
      </c>
      <c r="G18">
        <v>117.6</v>
      </c>
      <c r="H18">
        <v>132.6</v>
      </c>
      <c r="I18">
        <v>139.80000000000001</v>
      </c>
      <c r="J18">
        <v>146.1</v>
      </c>
      <c r="K18">
        <v>164.7</v>
      </c>
      <c r="L18">
        <v>135.80000000000001</v>
      </c>
      <c r="M18">
        <v>148.19999999999999</v>
      </c>
      <c r="N18">
        <v>177.8</v>
      </c>
      <c r="O18">
        <v>182.3</v>
      </c>
      <c r="P18">
        <v>183.4</v>
      </c>
      <c r="Q18">
        <v>183.8</v>
      </c>
      <c r="R18">
        <v>153.4</v>
      </c>
      <c r="S18">
        <v>144.19999999999999</v>
      </c>
      <c r="T18">
        <v>161.19999999999999</v>
      </c>
      <c r="U18">
        <v>181.5</v>
      </c>
      <c r="V18">
        <v>170.5</v>
      </c>
      <c r="W18">
        <v>146.69999999999999</v>
      </c>
      <c r="X18">
        <v>192.4</v>
      </c>
      <c r="Y18">
        <v>247.2</v>
      </c>
      <c r="Z18">
        <v>228.4</v>
      </c>
    </row>
    <row r="19" spans="1:26" x14ac:dyDescent="0.25">
      <c r="A19" t="s">
        <v>137</v>
      </c>
      <c r="B19">
        <v>95.4</v>
      </c>
      <c r="C19">
        <v>97</v>
      </c>
      <c r="D19">
        <v>98.9</v>
      </c>
      <c r="E19">
        <v>100</v>
      </c>
      <c r="F19">
        <v>101.4</v>
      </c>
      <c r="G19">
        <v>102.8</v>
      </c>
      <c r="H19">
        <v>104.6</v>
      </c>
      <c r="I19">
        <v>105.9</v>
      </c>
      <c r="J19">
        <v>107.3</v>
      </c>
      <c r="K19">
        <v>108.8</v>
      </c>
      <c r="L19">
        <v>112.1</v>
      </c>
      <c r="M19">
        <v>115.1</v>
      </c>
      <c r="N19">
        <v>117.1</v>
      </c>
      <c r="O19">
        <v>118.7</v>
      </c>
      <c r="P19">
        <v>118.3</v>
      </c>
      <c r="Q19">
        <v>119</v>
      </c>
      <c r="R19">
        <v>120.5</v>
      </c>
      <c r="S19">
        <v>122.2</v>
      </c>
      <c r="T19">
        <v>124.3</v>
      </c>
      <c r="U19">
        <v>125.9</v>
      </c>
      <c r="V19">
        <v>127.4</v>
      </c>
      <c r="W19">
        <v>129.19999999999999</v>
      </c>
      <c r="X19">
        <v>132.6</v>
      </c>
      <c r="Y19">
        <v>138</v>
      </c>
      <c r="Z19">
        <v>145.80000000000001</v>
      </c>
    </row>
    <row r="20" spans="1:26" x14ac:dyDescent="0.25">
      <c r="A20" t="s">
        <v>138</v>
      </c>
      <c r="B20">
        <v>94.7</v>
      </c>
      <c r="C20">
        <v>97</v>
      </c>
      <c r="D20">
        <v>98.4</v>
      </c>
      <c r="E20">
        <v>100</v>
      </c>
      <c r="F20">
        <v>100.8</v>
      </c>
      <c r="G20">
        <v>101.1</v>
      </c>
      <c r="H20">
        <v>100.8</v>
      </c>
      <c r="I20">
        <v>100.6</v>
      </c>
      <c r="J20">
        <v>101.8</v>
      </c>
      <c r="K20">
        <v>102.2</v>
      </c>
      <c r="L20">
        <v>103.1</v>
      </c>
      <c r="M20">
        <v>104</v>
      </c>
      <c r="N20">
        <v>105.3</v>
      </c>
      <c r="O20">
        <v>105.9</v>
      </c>
      <c r="P20">
        <v>106.2</v>
      </c>
      <c r="Q20">
        <v>107.4</v>
      </c>
      <c r="R20">
        <v>109.4</v>
      </c>
      <c r="S20">
        <v>111.3</v>
      </c>
      <c r="T20">
        <v>114</v>
      </c>
      <c r="U20">
        <v>115.3</v>
      </c>
      <c r="V20">
        <v>116.8</v>
      </c>
      <c r="W20">
        <v>115.7</v>
      </c>
      <c r="X20">
        <v>117.9</v>
      </c>
      <c r="Y20">
        <v>123.5</v>
      </c>
      <c r="Z20">
        <v>126.4</v>
      </c>
    </row>
    <row r="21" spans="1:26" x14ac:dyDescent="0.25">
      <c r="A21" t="s">
        <v>139</v>
      </c>
      <c r="B21">
        <v>76.5</v>
      </c>
      <c r="C21">
        <v>79</v>
      </c>
      <c r="D21">
        <v>85</v>
      </c>
      <c r="E21">
        <v>100</v>
      </c>
      <c r="F21">
        <v>110.1</v>
      </c>
      <c r="G21">
        <v>116</v>
      </c>
      <c r="H21">
        <v>119.1</v>
      </c>
      <c r="I21">
        <v>121.7</v>
      </c>
      <c r="J21">
        <v>125.5</v>
      </c>
      <c r="K21">
        <v>127.5</v>
      </c>
      <c r="L21">
        <v>130.69999999999999</v>
      </c>
      <c r="M21">
        <v>133.1</v>
      </c>
      <c r="N21">
        <v>135.6</v>
      </c>
      <c r="O21">
        <v>137.6</v>
      </c>
      <c r="P21">
        <v>140.4</v>
      </c>
      <c r="Q21">
        <v>146.6</v>
      </c>
      <c r="R21">
        <v>152</v>
      </c>
      <c r="S21">
        <v>156.80000000000001</v>
      </c>
      <c r="T21">
        <v>161.1</v>
      </c>
      <c r="U21">
        <v>167.9</v>
      </c>
      <c r="V21">
        <v>171.1</v>
      </c>
      <c r="W21">
        <v>171.9</v>
      </c>
      <c r="X21">
        <v>175</v>
      </c>
      <c r="Y21">
        <v>181.3</v>
      </c>
      <c r="Z21">
        <v>190.5</v>
      </c>
    </row>
    <row r="22" spans="1:26" x14ac:dyDescent="0.25">
      <c r="A22" t="s">
        <v>140</v>
      </c>
      <c r="B22">
        <v>94</v>
      </c>
      <c r="C22">
        <v>95.5</v>
      </c>
      <c r="D22">
        <v>97.3</v>
      </c>
      <c r="E22">
        <v>100</v>
      </c>
      <c r="F22">
        <v>102.5</v>
      </c>
      <c r="G22">
        <v>103.9</v>
      </c>
      <c r="H22">
        <v>105.3</v>
      </c>
      <c r="I22">
        <v>106.9</v>
      </c>
      <c r="J22">
        <v>109</v>
      </c>
      <c r="K22">
        <v>110.3</v>
      </c>
      <c r="L22">
        <v>111.5</v>
      </c>
      <c r="M22">
        <v>112.9</v>
      </c>
      <c r="N22">
        <v>114.7</v>
      </c>
      <c r="O22">
        <v>116.2</v>
      </c>
      <c r="P22">
        <v>117.2</v>
      </c>
      <c r="Q22">
        <v>119</v>
      </c>
      <c r="R22">
        <v>121.2</v>
      </c>
      <c r="S22">
        <v>123.5</v>
      </c>
      <c r="T22">
        <v>125.5</v>
      </c>
      <c r="U22">
        <v>127.9</v>
      </c>
      <c r="V22">
        <v>130.5</v>
      </c>
      <c r="W22">
        <v>132</v>
      </c>
      <c r="X22">
        <v>135.1</v>
      </c>
      <c r="Y22">
        <v>141.80000000000001</v>
      </c>
      <c r="Z22">
        <v>147.30000000000001</v>
      </c>
    </row>
    <row r="23" spans="1:26" x14ac:dyDescent="0.25">
      <c r="A23" t="s">
        <v>141</v>
      </c>
      <c r="B23">
        <v>93.6</v>
      </c>
      <c r="C23">
        <v>95</v>
      </c>
      <c r="D23">
        <v>97.3</v>
      </c>
      <c r="E23">
        <v>100</v>
      </c>
      <c r="F23">
        <v>102.4</v>
      </c>
      <c r="G23">
        <v>103.8</v>
      </c>
      <c r="H23">
        <v>105.4</v>
      </c>
      <c r="I23">
        <v>107.2</v>
      </c>
      <c r="J23">
        <v>109.5</v>
      </c>
      <c r="K23">
        <v>111.3</v>
      </c>
      <c r="L23">
        <v>113.3</v>
      </c>
      <c r="M23">
        <v>114.8</v>
      </c>
      <c r="N23">
        <v>117</v>
      </c>
      <c r="O23">
        <v>118.8</v>
      </c>
      <c r="P23">
        <v>119.9</v>
      </c>
      <c r="Q23">
        <v>122</v>
      </c>
      <c r="R23">
        <v>124.6</v>
      </c>
      <c r="S23">
        <v>126.9</v>
      </c>
      <c r="T23">
        <v>128.5</v>
      </c>
      <c r="U23">
        <v>131</v>
      </c>
      <c r="V23">
        <v>134</v>
      </c>
      <c r="W23">
        <v>135.80000000000001</v>
      </c>
      <c r="X23">
        <v>139</v>
      </c>
      <c r="Y23">
        <v>146.9</v>
      </c>
      <c r="Z23">
        <v>153.5</v>
      </c>
    </row>
    <row r="24" spans="1:26" x14ac:dyDescent="0.25">
      <c r="A24" t="s">
        <v>142</v>
      </c>
      <c r="B24">
        <v>85</v>
      </c>
      <c r="C24">
        <v>98.8</v>
      </c>
      <c r="D24">
        <v>102</v>
      </c>
      <c r="E24">
        <v>100</v>
      </c>
      <c r="F24">
        <v>107.9</v>
      </c>
      <c r="G24">
        <v>115.2</v>
      </c>
      <c r="H24">
        <v>126.3</v>
      </c>
      <c r="I24">
        <v>132.80000000000001</v>
      </c>
      <c r="J24">
        <v>135.9</v>
      </c>
      <c r="K24">
        <v>149.30000000000001</v>
      </c>
      <c r="L24">
        <v>129.19999999999999</v>
      </c>
      <c r="M24">
        <v>137.80000000000001</v>
      </c>
      <c r="N24">
        <v>154.69999999999999</v>
      </c>
      <c r="O24">
        <v>157.30000000000001</v>
      </c>
      <c r="P24">
        <v>159.6</v>
      </c>
      <c r="Q24">
        <v>165.3</v>
      </c>
      <c r="R24">
        <v>149.5</v>
      </c>
      <c r="S24">
        <v>145</v>
      </c>
      <c r="T24">
        <v>152.69999999999999</v>
      </c>
      <c r="U24">
        <v>162.9</v>
      </c>
      <c r="V24">
        <v>159.30000000000001</v>
      </c>
      <c r="W24">
        <v>147.19999999999999</v>
      </c>
      <c r="X24">
        <v>175</v>
      </c>
      <c r="Y24">
        <v>214.4</v>
      </c>
      <c r="Z24">
        <v>205.5</v>
      </c>
    </row>
    <row r="25" spans="1:26" x14ac:dyDescent="0.25">
      <c r="A25" t="s">
        <v>143</v>
      </c>
      <c r="B25">
        <v>93.1</v>
      </c>
      <c r="C25">
        <v>96</v>
      </c>
      <c r="D25">
        <v>98.4</v>
      </c>
      <c r="E25">
        <v>100</v>
      </c>
      <c r="F25">
        <v>101.9</v>
      </c>
      <c r="G25">
        <v>103.4</v>
      </c>
      <c r="H25">
        <v>105.8</v>
      </c>
      <c r="I25">
        <v>107.1</v>
      </c>
      <c r="J25">
        <v>108</v>
      </c>
      <c r="K25">
        <v>109.4</v>
      </c>
      <c r="L25">
        <v>107.6</v>
      </c>
      <c r="M25">
        <v>109.2</v>
      </c>
      <c r="N25">
        <v>112.9</v>
      </c>
      <c r="O25">
        <v>114</v>
      </c>
      <c r="P25">
        <v>114.6</v>
      </c>
      <c r="Q25">
        <v>116.5</v>
      </c>
      <c r="R25">
        <v>116.8</v>
      </c>
      <c r="S25">
        <v>117.9</v>
      </c>
      <c r="T25">
        <v>118.9</v>
      </c>
      <c r="U25">
        <v>121.1</v>
      </c>
      <c r="V25">
        <v>122.7</v>
      </c>
      <c r="W25">
        <v>122.5</v>
      </c>
      <c r="X25">
        <v>128.30000000000001</v>
      </c>
      <c r="Y25">
        <v>139.4</v>
      </c>
      <c r="Z25">
        <v>143.80000000000001</v>
      </c>
    </row>
    <row r="26" spans="1:26" x14ac:dyDescent="0.25">
      <c r="A26" t="s">
        <v>144</v>
      </c>
      <c r="B26">
        <v>92.6</v>
      </c>
      <c r="C26">
        <v>94.8</v>
      </c>
      <c r="D26">
        <v>97.1</v>
      </c>
      <c r="E26">
        <v>100</v>
      </c>
      <c r="F26">
        <v>103.6</v>
      </c>
      <c r="G26">
        <v>105.9</v>
      </c>
      <c r="H26">
        <v>108.2</v>
      </c>
      <c r="I26">
        <v>111.1</v>
      </c>
      <c r="J26">
        <v>114.8</v>
      </c>
      <c r="K26">
        <v>118.7</v>
      </c>
      <c r="L26">
        <v>121.2</v>
      </c>
      <c r="M26">
        <v>123.7</v>
      </c>
      <c r="N26">
        <v>126.7</v>
      </c>
      <c r="O26">
        <v>129.30000000000001</v>
      </c>
      <c r="P26">
        <v>131</v>
      </c>
      <c r="Q26">
        <v>133.69999999999999</v>
      </c>
      <c r="R26">
        <v>136.4</v>
      </c>
      <c r="S26">
        <v>138.9</v>
      </c>
      <c r="T26">
        <v>142</v>
      </c>
      <c r="U26">
        <v>145.80000000000001</v>
      </c>
      <c r="V26">
        <v>149.19999999999999</v>
      </c>
      <c r="W26">
        <v>151.30000000000001</v>
      </c>
      <c r="X26">
        <v>154.80000000000001</v>
      </c>
      <c r="Y26">
        <v>162.6</v>
      </c>
      <c r="Z26">
        <v>170.1</v>
      </c>
    </row>
    <row r="31" spans="1:26" x14ac:dyDescent="0.25">
      <c r="A31" t="s">
        <v>41</v>
      </c>
    </row>
    <row r="32" spans="1:26" x14ac:dyDescent="0.25">
      <c r="A32">
        <v>1</v>
      </c>
      <c r="B32" t="s">
        <v>145</v>
      </c>
    </row>
    <row r="33" spans="1:18" x14ac:dyDescent="0.25">
      <c r="A33">
        <v>2</v>
      </c>
      <c r="B33" t="s">
        <v>146</v>
      </c>
    </row>
    <row r="34" spans="1:18" x14ac:dyDescent="0.25">
      <c r="A34">
        <v>3</v>
      </c>
      <c r="B34" t="s">
        <v>147</v>
      </c>
      <c r="C34" t="s">
        <v>148</v>
      </c>
    </row>
    <row r="35" spans="1:18" x14ac:dyDescent="0.25">
      <c r="A35">
        <v>4</v>
      </c>
      <c r="B35" t="s">
        <v>149</v>
      </c>
      <c r="C35" t="s">
        <v>150</v>
      </c>
      <c r="D35" t="s">
        <v>151</v>
      </c>
      <c r="E35" t="s">
        <v>152</v>
      </c>
      <c r="F35" t="s">
        <v>153</v>
      </c>
      <c r="G35" t="s">
        <v>154</v>
      </c>
      <c r="H35" t="s">
        <v>155</v>
      </c>
      <c r="I35" t="s">
        <v>156</v>
      </c>
      <c r="J35" t="s">
        <v>157</v>
      </c>
      <c r="K35" t="s">
        <v>158</v>
      </c>
      <c r="L35" t="s">
        <v>159</v>
      </c>
      <c r="M35" t="s">
        <v>160</v>
      </c>
      <c r="N35" t="s">
        <v>161</v>
      </c>
      <c r="O35" t="s">
        <v>162</v>
      </c>
      <c r="P35" t="s">
        <v>163</v>
      </c>
      <c r="Q35" t="s">
        <v>164</v>
      </c>
      <c r="R35" t="s">
        <v>165</v>
      </c>
    </row>
    <row r="36" spans="1:18" x14ac:dyDescent="0.25">
      <c r="A36">
        <v>5</v>
      </c>
      <c r="B36" t="s">
        <v>166</v>
      </c>
    </row>
    <row r="37" spans="1:18" x14ac:dyDescent="0.25">
      <c r="A37">
        <v>6</v>
      </c>
      <c r="B37" t="s">
        <v>167</v>
      </c>
    </row>
    <row r="38" spans="1:18" x14ac:dyDescent="0.25">
      <c r="A38">
        <v>7</v>
      </c>
      <c r="B38" t="s">
        <v>168</v>
      </c>
      <c r="C38" t="s">
        <v>169</v>
      </c>
      <c r="D38" t="s">
        <v>170</v>
      </c>
      <c r="E38" t="s">
        <v>171</v>
      </c>
      <c r="F38" t="s">
        <v>172</v>
      </c>
      <c r="G38" t="s">
        <v>173</v>
      </c>
    </row>
    <row r="39" spans="1:18" x14ac:dyDescent="0.25">
      <c r="A39">
        <v>8</v>
      </c>
      <c r="B39" t="s">
        <v>174</v>
      </c>
    </row>
    <row r="40" spans="1:18" x14ac:dyDescent="0.25">
      <c r="A40">
        <v>9</v>
      </c>
      <c r="B40" t="s">
        <v>175</v>
      </c>
    </row>
    <row r="44" spans="1:18" x14ac:dyDescent="0.25">
      <c r="A44" t="s">
        <v>176</v>
      </c>
    </row>
    <row r="45" spans="1:18" x14ac:dyDescent="0.25">
      <c r="A45" t="s">
        <v>177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Y33"/>
  <sheetViews>
    <sheetView workbookViewId="0">
      <selection activeCell="Q22" sqref="Q22"/>
    </sheetView>
  </sheetViews>
  <sheetFormatPr defaultRowHeight="15" x14ac:dyDescent="0.25"/>
  <sheetData>
    <row r="1" spans="1:103" x14ac:dyDescent="0.25">
      <c r="A1" t="s">
        <v>201</v>
      </c>
    </row>
    <row r="2" spans="1:103" x14ac:dyDescent="0.25">
      <c r="A2" t="s">
        <v>202</v>
      </c>
    </row>
    <row r="3" spans="1:103" x14ac:dyDescent="0.25">
      <c r="A3" t="s">
        <v>203</v>
      </c>
    </row>
    <row r="4" spans="1:103" x14ac:dyDescent="0.25">
      <c r="A4" t="s">
        <v>204</v>
      </c>
    </row>
    <row r="5" spans="1:103" x14ac:dyDescent="0.25">
      <c r="A5" t="s">
        <v>4</v>
      </c>
    </row>
    <row r="9" spans="1:103" x14ac:dyDescent="0.25">
      <c r="A9" t="s">
        <v>5</v>
      </c>
      <c r="B9" t="s">
        <v>6</v>
      </c>
    </row>
    <row r="10" spans="1:103" x14ac:dyDescent="0.25">
      <c r="A10" t="s">
        <v>205</v>
      </c>
      <c r="B10" t="s">
        <v>206</v>
      </c>
      <c r="C10" t="s">
        <v>207</v>
      </c>
      <c r="D10" t="s">
        <v>208</v>
      </c>
      <c r="E10" t="s">
        <v>209</v>
      </c>
      <c r="F10" t="s">
        <v>210</v>
      </c>
      <c r="G10" t="s">
        <v>211</v>
      </c>
      <c r="H10" t="s">
        <v>212</v>
      </c>
      <c r="I10" t="s">
        <v>213</v>
      </c>
      <c r="J10" t="s">
        <v>214</v>
      </c>
      <c r="K10" t="s">
        <v>215</v>
      </c>
      <c r="L10" t="s">
        <v>216</v>
      </c>
      <c r="M10" t="s">
        <v>217</v>
      </c>
      <c r="N10" t="s">
        <v>218</v>
      </c>
      <c r="O10" t="s">
        <v>219</v>
      </c>
      <c r="P10" t="s">
        <v>220</v>
      </c>
      <c r="Q10" t="s">
        <v>221</v>
      </c>
      <c r="R10" t="s">
        <v>222</v>
      </c>
      <c r="S10" t="s">
        <v>223</v>
      </c>
      <c r="T10" t="s">
        <v>224</v>
      </c>
      <c r="U10" t="s">
        <v>225</v>
      </c>
      <c r="V10" t="s">
        <v>226</v>
      </c>
      <c r="W10" t="s">
        <v>227</v>
      </c>
      <c r="X10" t="s">
        <v>228</v>
      </c>
      <c r="Y10" t="s">
        <v>229</v>
      </c>
      <c r="Z10" t="s">
        <v>230</v>
      </c>
      <c r="AA10" t="s">
        <v>231</v>
      </c>
      <c r="AB10" t="s">
        <v>232</v>
      </c>
      <c r="AC10" t="s">
        <v>233</v>
      </c>
      <c r="AD10" t="s">
        <v>234</v>
      </c>
      <c r="AE10" t="s">
        <v>235</v>
      </c>
      <c r="AF10" t="s">
        <v>236</v>
      </c>
      <c r="AG10" t="s">
        <v>237</v>
      </c>
      <c r="AH10" t="s">
        <v>238</v>
      </c>
      <c r="AI10" t="s">
        <v>239</v>
      </c>
      <c r="AJ10" t="s">
        <v>240</v>
      </c>
      <c r="AK10" t="s">
        <v>241</v>
      </c>
      <c r="AL10" t="s">
        <v>242</v>
      </c>
      <c r="AM10" t="s">
        <v>243</v>
      </c>
      <c r="AN10" t="s">
        <v>244</v>
      </c>
      <c r="AO10" t="s">
        <v>245</v>
      </c>
      <c r="AP10" t="s">
        <v>246</v>
      </c>
      <c r="AQ10" t="s">
        <v>247</v>
      </c>
      <c r="AR10" t="s">
        <v>248</v>
      </c>
      <c r="AS10" t="s">
        <v>249</v>
      </c>
      <c r="AT10" t="s">
        <v>250</v>
      </c>
      <c r="AU10" t="s">
        <v>251</v>
      </c>
      <c r="AV10" t="s">
        <v>252</v>
      </c>
      <c r="AW10" t="s">
        <v>253</v>
      </c>
      <c r="AX10" t="s">
        <v>254</v>
      </c>
      <c r="AY10" t="s">
        <v>255</v>
      </c>
      <c r="AZ10" t="s">
        <v>256</v>
      </c>
      <c r="BA10" t="s">
        <v>257</v>
      </c>
      <c r="BB10" t="s">
        <v>258</v>
      </c>
      <c r="BC10" t="s">
        <v>259</v>
      </c>
      <c r="BD10" t="s">
        <v>260</v>
      </c>
      <c r="BE10" t="s">
        <v>261</v>
      </c>
      <c r="BF10" t="s">
        <v>262</v>
      </c>
      <c r="BG10" t="s">
        <v>263</v>
      </c>
      <c r="BH10" t="s">
        <v>264</v>
      </c>
      <c r="BI10" t="s">
        <v>265</v>
      </c>
      <c r="BJ10" t="s">
        <v>266</v>
      </c>
      <c r="BK10" t="s">
        <v>267</v>
      </c>
      <c r="BL10" t="s">
        <v>268</v>
      </c>
      <c r="BM10" t="s">
        <v>269</v>
      </c>
      <c r="BN10" t="s">
        <v>270</v>
      </c>
      <c r="BO10" t="s">
        <v>271</v>
      </c>
      <c r="BP10" t="s">
        <v>272</v>
      </c>
      <c r="BQ10" t="s">
        <v>273</v>
      </c>
      <c r="BR10" t="s">
        <v>274</v>
      </c>
      <c r="BS10" t="s">
        <v>275</v>
      </c>
      <c r="BT10" t="s">
        <v>276</v>
      </c>
      <c r="BU10" t="s">
        <v>277</v>
      </c>
      <c r="BV10" t="s">
        <v>278</v>
      </c>
      <c r="BW10" t="s">
        <v>279</v>
      </c>
      <c r="BX10" t="s">
        <v>280</v>
      </c>
      <c r="BY10" t="s">
        <v>281</v>
      </c>
      <c r="BZ10" t="s">
        <v>282</v>
      </c>
      <c r="CA10" t="s">
        <v>283</v>
      </c>
      <c r="CB10" t="s">
        <v>284</v>
      </c>
      <c r="CC10" t="s">
        <v>285</v>
      </c>
      <c r="CD10" t="s">
        <v>286</v>
      </c>
      <c r="CE10" t="s">
        <v>287</v>
      </c>
      <c r="CF10" t="s">
        <v>288</v>
      </c>
      <c r="CG10" t="s">
        <v>289</v>
      </c>
      <c r="CH10" t="s">
        <v>290</v>
      </c>
      <c r="CI10" t="s">
        <v>291</v>
      </c>
      <c r="CJ10" t="s">
        <v>292</v>
      </c>
      <c r="CK10" t="s">
        <v>293</v>
      </c>
      <c r="CL10" t="s">
        <v>294</v>
      </c>
      <c r="CM10" t="s">
        <v>295</v>
      </c>
      <c r="CN10" t="s">
        <v>296</v>
      </c>
      <c r="CO10" t="s">
        <v>297</v>
      </c>
      <c r="CP10" t="s">
        <v>298</v>
      </c>
      <c r="CQ10" t="s">
        <v>299</v>
      </c>
      <c r="CR10" t="s">
        <v>300</v>
      </c>
      <c r="CS10" t="s">
        <v>301</v>
      </c>
      <c r="CT10" t="s">
        <v>302</v>
      </c>
      <c r="CU10" t="s">
        <v>303</v>
      </c>
      <c r="CV10" t="s">
        <v>304</v>
      </c>
      <c r="CW10" t="s">
        <v>305</v>
      </c>
      <c r="CX10" t="s">
        <v>306</v>
      </c>
      <c r="CY10" t="s">
        <v>307</v>
      </c>
    </row>
    <row r="11" spans="1:103" x14ac:dyDescent="0.25">
      <c r="B11" t="s">
        <v>308</v>
      </c>
    </row>
    <row r="12" spans="1:103" x14ac:dyDescent="0.25">
      <c r="A12" t="s">
        <v>309</v>
      </c>
      <c r="B12">
        <v>112.47</v>
      </c>
      <c r="C12">
        <v>112.55</v>
      </c>
      <c r="D12">
        <v>112.33</v>
      </c>
      <c r="E12">
        <v>112.84</v>
      </c>
      <c r="F12">
        <v>113.96</v>
      </c>
      <c r="G12">
        <v>113.31</v>
      </c>
      <c r="H12">
        <v>112.69</v>
      </c>
      <c r="I12">
        <v>112.17</v>
      </c>
      <c r="J12">
        <v>109.83</v>
      </c>
      <c r="K12">
        <v>113.52</v>
      </c>
      <c r="L12">
        <v>112.36</v>
      </c>
      <c r="M12">
        <v>113.13</v>
      </c>
      <c r="N12">
        <v>113.48</v>
      </c>
      <c r="O12">
        <v>115.71</v>
      </c>
      <c r="P12">
        <v>115.83</v>
      </c>
      <c r="Q12">
        <v>116.96</v>
      </c>
      <c r="R12">
        <v>116.91</v>
      </c>
      <c r="S12">
        <v>119.7</v>
      </c>
      <c r="T12">
        <v>122.17</v>
      </c>
      <c r="U12">
        <v>123.54</v>
      </c>
      <c r="V12">
        <v>124.89</v>
      </c>
      <c r="W12">
        <v>125.7</v>
      </c>
      <c r="X12">
        <v>127.15</v>
      </c>
      <c r="Y12">
        <v>129.94</v>
      </c>
      <c r="Z12">
        <v>134.26</v>
      </c>
      <c r="AA12">
        <v>134.44</v>
      </c>
      <c r="AB12">
        <v>136.79</v>
      </c>
      <c r="AC12">
        <v>137.53</v>
      </c>
      <c r="AD12">
        <v>136.94</v>
      </c>
      <c r="AE12">
        <v>139.66999999999999</v>
      </c>
      <c r="AF12">
        <v>139.37</v>
      </c>
      <c r="AG12">
        <v>140.82</v>
      </c>
      <c r="AH12">
        <v>142.24</v>
      </c>
      <c r="AI12">
        <v>147.12</v>
      </c>
      <c r="AJ12">
        <v>150.5</v>
      </c>
      <c r="AK12">
        <v>151.96</v>
      </c>
      <c r="AL12">
        <v>152.68</v>
      </c>
      <c r="AM12">
        <v>153.68</v>
      </c>
      <c r="AN12">
        <v>153.94999999999999</v>
      </c>
      <c r="AO12">
        <v>156.82</v>
      </c>
      <c r="AP12">
        <v>160.19999999999999</v>
      </c>
      <c r="AQ12">
        <v>162.41</v>
      </c>
      <c r="AR12">
        <v>162.19</v>
      </c>
      <c r="AS12">
        <v>163.53</v>
      </c>
      <c r="AT12">
        <v>161.85</v>
      </c>
      <c r="AU12">
        <v>166.66</v>
      </c>
      <c r="AV12">
        <v>166.08</v>
      </c>
      <c r="AW12">
        <v>165.8</v>
      </c>
      <c r="AX12">
        <v>167.12</v>
      </c>
      <c r="AY12">
        <v>169.27</v>
      </c>
      <c r="AZ12">
        <v>169.87</v>
      </c>
      <c r="BA12">
        <v>168.49</v>
      </c>
      <c r="BB12">
        <v>168.84</v>
      </c>
      <c r="BC12">
        <v>169.96</v>
      </c>
      <c r="BD12">
        <v>169.57</v>
      </c>
      <c r="BE12">
        <v>170.1</v>
      </c>
      <c r="BF12">
        <v>168.13</v>
      </c>
      <c r="BG12">
        <v>168.97</v>
      </c>
      <c r="BH12">
        <v>169.71</v>
      </c>
      <c r="BI12">
        <v>169.58</v>
      </c>
      <c r="BJ12">
        <v>170.16</v>
      </c>
      <c r="BK12">
        <v>171.06</v>
      </c>
      <c r="BL12">
        <v>170.34</v>
      </c>
      <c r="BM12">
        <v>171.79</v>
      </c>
      <c r="BN12">
        <v>170.36</v>
      </c>
      <c r="BO12">
        <v>171.37</v>
      </c>
      <c r="BP12">
        <v>172.38</v>
      </c>
      <c r="BQ12">
        <v>174.48</v>
      </c>
      <c r="BR12">
        <v>181.45</v>
      </c>
      <c r="BS12">
        <v>180.84</v>
      </c>
      <c r="BT12">
        <v>180.81</v>
      </c>
      <c r="BU12">
        <v>181.15</v>
      </c>
      <c r="BV12">
        <v>183.26</v>
      </c>
      <c r="BW12">
        <v>182.43</v>
      </c>
      <c r="BX12">
        <v>180.51</v>
      </c>
      <c r="BY12">
        <v>180.61</v>
      </c>
      <c r="BZ12">
        <v>182.56</v>
      </c>
      <c r="CA12">
        <v>183.97</v>
      </c>
      <c r="CB12">
        <v>184.61</v>
      </c>
      <c r="CC12">
        <v>183.22</v>
      </c>
      <c r="CD12">
        <v>183.75</v>
      </c>
      <c r="CE12">
        <v>181.91</v>
      </c>
      <c r="CF12">
        <v>182.1</v>
      </c>
      <c r="CG12">
        <v>181.19</v>
      </c>
      <c r="CH12">
        <v>180.91</v>
      </c>
      <c r="CI12">
        <v>164.87</v>
      </c>
      <c r="CJ12">
        <v>174.36</v>
      </c>
      <c r="CK12">
        <v>178.6</v>
      </c>
      <c r="CL12">
        <v>173.78</v>
      </c>
      <c r="CM12">
        <v>178.24</v>
      </c>
      <c r="CN12">
        <v>179.93</v>
      </c>
      <c r="CO12">
        <v>185.4</v>
      </c>
      <c r="CP12">
        <v>182.09</v>
      </c>
      <c r="CQ12">
        <v>184.05</v>
      </c>
      <c r="CR12">
        <v>184.78</v>
      </c>
      <c r="CS12">
        <v>181.68</v>
      </c>
      <c r="CT12">
        <v>182.51</v>
      </c>
      <c r="CU12">
        <v>181.31</v>
      </c>
      <c r="CV12">
        <v>178.81</v>
      </c>
      <c r="CW12">
        <v>177.98</v>
      </c>
      <c r="CX12">
        <v>176.67</v>
      </c>
      <c r="CY12">
        <v>175.51</v>
      </c>
    </row>
    <row r="13" spans="1:103" x14ac:dyDescent="0.25">
      <c r="A13" s="5" t="s">
        <v>310</v>
      </c>
      <c r="B13" s="5">
        <v>104.96</v>
      </c>
      <c r="C13" s="5">
        <v>105.06</v>
      </c>
      <c r="D13" s="5">
        <v>104.98</v>
      </c>
      <c r="E13" s="5">
        <v>105.54</v>
      </c>
      <c r="F13" s="5">
        <v>106.56</v>
      </c>
      <c r="G13" s="5">
        <v>105.99</v>
      </c>
      <c r="H13" s="5">
        <v>105.49</v>
      </c>
      <c r="I13" s="5">
        <v>105.16</v>
      </c>
      <c r="J13" s="5">
        <v>102.66</v>
      </c>
      <c r="K13" s="5">
        <v>106.23</v>
      </c>
      <c r="L13" s="5">
        <v>105.26</v>
      </c>
      <c r="M13" s="5">
        <v>106.15</v>
      </c>
      <c r="N13" s="5">
        <v>106.55</v>
      </c>
      <c r="O13" s="5">
        <v>108.8</v>
      </c>
      <c r="P13" s="5">
        <v>108.92</v>
      </c>
      <c r="Q13" s="5">
        <v>110.08</v>
      </c>
      <c r="R13" s="5">
        <v>110.25</v>
      </c>
      <c r="S13" s="5">
        <v>112.9</v>
      </c>
      <c r="T13" s="5">
        <v>115.35</v>
      </c>
      <c r="U13" s="5">
        <v>116.75</v>
      </c>
      <c r="V13" s="5">
        <v>118.11</v>
      </c>
      <c r="W13" s="5">
        <v>119</v>
      </c>
      <c r="X13" s="5">
        <v>120.46</v>
      </c>
      <c r="Y13" s="5">
        <v>123.21</v>
      </c>
      <c r="Z13" s="5">
        <v>127.05</v>
      </c>
      <c r="AA13" s="5">
        <v>127.35</v>
      </c>
      <c r="AB13" s="5">
        <v>129.61000000000001</v>
      </c>
      <c r="AC13" s="5">
        <v>130.35</v>
      </c>
      <c r="AD13" s="5">
        <v>129.76</v>
      </c>
      <c r="AE13" s="5">
        <v>132.22</v>
      </c>
      <c r="AF13" s="5">
        <v>131.78</v>
      </c>
      <c r="AG13" s="5">
        <v>133.02000000000001</v>
      </c>
      <c r="AH13" s="5">
        <v>134.36000000000001</v>
      </c>
      <c r="AI13" s="5">
        <v>138.96</v>
      </c>
      <c r="AJ13" s="5">
        <v>142.27000000000001</v>
      </c>
      <c r="AK13" s="5">
        <v>143.65</v>
      </c>
      <c r="AL13" s="5">
        <v>144.33000000000001</v>
      </c>
      <c r="AM13" s="5">
        <v>145.31</v>
      </c>
      <c r="AN13" s="5">
        <v>145.62</v>
      </c>
      <c r="AO13" s="5">
        <v>148.33000000000001</v>
      </c>
      <c r="AP13" s="5">
        <v>151.86000000000001</v>
      </c>
      <c r="AQ13" s="5">
        <v>154.05000000000001</v>
      </c>
      <c r="AR13" s="5">
        <v>153.9</v>
      </c>
      <c r="AS13" s="5">
        <v>155.38</v>
      </c>
      <c r="AT13" s="5">
        <v>153.72999999999999</v>
      </c>
      <c r="AU13" s="5">
        <v>158.32</v>
      </c>
      <c r="AV13" s="5">
        <v>157.76</v>
      </c>
      <c r="AW13" s="5">
        <v>157.63999999999999</v>
      </c>
      <c r="AX13" s="5">
        <v>158.96</v>
      </c>
      <c r="AY13" s="5">
        <v>161.13999999999999</v>
      </c>
      <c r="AZ13" s="5">
        <v>161.85</v>
      </c>
      <c r="BA13" s="5">
        <v>160.32</v>
      </c>
      <c r="BB13" s="5">
        <v>160.61000000000001</v>
      </c>
      <c r="BC13" s="5">
        <v>161.59</v>
      </c>
      <c r="BD13" s="5">
        <v>161.33000000000001</v>
      </c>
      <c r="BE13" s="5">
        <v>161.93</v>
      </c>
      <c r="BF13" s="5">
        <v>160.07</v>
      </c>
      <c r="BG13" s="5">
        <v>160.93</v>
      </c>
      <c r="BH13" s="5">
        <v>161.61000000000001</v>
      </c>
      <c r="BI13" s="5">
        <v>161.51</v>
      </c>
      <c r="BJ13" s="5">
        <v>162.1</v>
      </c>
      <c r="BK13" s="5">
        <v>162.99</v>
      </c>
      <c r="BL13" s="5">
        <v>162.21</v>
      </c>
      <c r="BM13" s="5">
        <v>163.53</v>
      </c>
      <c r="BN13" s="5">
        <v>162.22999999999999</v>
      </c>
      <c r="BO13" s="5">
        <v>162.76</v>
      </c>
      <c r="BP13" s="5">
        <v>163.77000000000001</v>
      </c>
      <c r="BQ13" s="5">
        <v>165.82</v>
      </c>
      <c r="BR13" s="5">
        <v>172.39</v>
      </c>
      <c r="BS13" s="5">
        <v>171.84</v>
      </c>
      <c r="BT13" s="5">
        <v>171.91</v>
      </c>
      <c r="BU13" s="5">
        <v>172.09</v>
      </c>
      <c r="BV13" s="5">
        <v>174.03</v>
      </c>
      <c r="BW13" s="5">
        <v>173.28</v>
      </c>
      <c r="BX13" s="5">
        <v>171.44</v>
      </c>
      <c r="BY13" s="5">
        <v>171.6</v>
      </c>
      <c r="BZ13" s="5">
        <v>173.31</v>
      </c>
      <c r="CA13" s="5">
        <v>174.38</v>
      </c>
      <c r="CB13" s="5">
        <v>174.92</v>
      </c>
      <c r="CC13" s="5">
        <v>173.6</v>
      </c>
      <c r="CD13" s="5">
        <v>174.16</v>
      </c>
      <c r="CE13" s="5">
        <v>172.43</v>
      </c>
      <c r="CF13" s="5">
        <v>172.62</v>
      </c>
      <c r="CG13" s="5">
        <v>171.77</v>
      </c>
      <c r="CH13" s="5">
        <v>171.57</v>
      </c>
      <c r="CI13" s="5">
        <v>156.22999999999999</v>
      </c>
      <c r="CJ13" s="5">
        <v>165.34</v>
      </c>
      <c r="CK13" s="5">
        <v>169.42</v>
      </c>
      <c r="CL13" s="5">
        <v>164.9</v>
      </c>
      <c r="CM13" s="5">
        <v>169.19</v>
      </c>
      <c r="CN13" s="5">
        <v>170.91</v>
      </c>
      <c r="CO13" s="5">
        <v>176.24</v>
      </c>
      <c r="CP13" s="5">
        <v>173.15</v>
      </c>
      <c r="CQ13" s="5">
        <v>175.18</v>
      </c>
      <c r="CR13" s="5">
        <v>175.94</v>
      </c>
      <c r="CS13" s="5">
        <v>172.97</v>
      </c>
      <c r="CT13" s="5">
        <v>173.85</v>
      </c>
      <c r="CU13" s="5">
        <v>172.71</v>
      </c>
      <c r="CV13" s="5">
        <v>170.28</v>
      </c>
      <c r="CW13" s="5">
        <v>169.52</v>
      </c>
      <c r="CX13" s="5">
        <v>168.21</v>
      </c>
      <c r="CY13" s="5">
        <v>167.02</v>
      </c>
    </row>
    <row r="14" spans="1:103" x14ac:dyDescent="0.25">
      <c r="B14" t="s">
        <v>17</v>
      </c>
    </row>
    <row r="15" spans="1:103" x14ac:dyDescent="0.25">
      <c r="A15" t="s">
        <v>311</v>
      </c>
      <c r="B15" s="1">
        <v>600938</v>
      </c>
      <c r="C15" s="1">
        <v>611325</v>
      </c>
      <c r="D15" s="1">
        <v>618379</v>
      </c>
      <c r="E15" s="1">
        <v>628588</v>
      </c>
      <c r="F15" s="1">
        <v>642342</v>
      </c>
      <c r="G15" s="1">
        <v>649511</v>
      </c>
      <c r="H15" s="1">
        <v>660388</v>
      </c>
      <c r="I15" s="1">
        <v>668334</v>
      </c>
      <c r="J15" s="1">
        <v>674980</v>
      </c>
      <c r="K15" s="1">
        <v>684289</v>
      </c>
      <c r="L15" s="1">
        <v>695480</v>
      </c>
      <c r="M15" s="1">
        <v>706808</v>
      </c>
      <c r="N15" s="1">
        <v>719912</v>
      </c>
      <c r="O15" s="1">
        <v>735933</v>
      </c>
      <c r="P15" s="1">
        <v>749601</v>
      </c>
      <c r="Q15" s="1">
        <v>763548</v>
      </c>
      <c r="R15" s="1">
        <v>775163</v>
      </c>
      <c r="S15" s="1">
        <v>789210</v>
      </c>
      <c r="T15" s="1">
        <v>808142</v>
      </c>
      <c r="U15" s="1">
        <v>826606</v>
      </c>
      <c r="V15" s="1">
        <v>846826</v>
      </c>
      <c r="W15" s="1">
        <v>872784</v>
      </c>
      <c r="X15" s="1">
        <v>893176</v>
      </c>
      <c r="Y15" s="1">
        <v>917523</v>
      </c>
      <c r="Z15" s="1">
        <v>945012</v>
      </c>
      <c r="AA15" s="1">
        <v>967587</v>
      </c>
      <c r="AB15" s="1">
        <v>991550</v>
      </c>
      <c r="AC15" s="1">
        <v>1014462</v>
      </c>
      <c r="AD15" s="1">
        <v>1040533</v>
      </c>
      <c r="AE15" s="1">
        <v>1062332</v>
      </c>
      <c r="AF15" s="1">
        <v>1088824</v>
      </c>
      <c r="AG15" s="1">
        <v>1120711</v>
      </c>
      <c r="AH15" s="1">
        <v>1155362</v>
      </c>
      <c r="AI15" s="1">
        <v>1192220</v>
      </c>
      <c r="AJ15" s="1">
        <v>1225837</v>
      </c>
      <c r="AK15" s="1">
        <v>1258433</v>
      </c>
      <c r="AL15" s="1">
        <v>1288020</v>
      </c>
      <c r="AM15" s="1">
        <v>1318569</v>
      </c>
      <c r="AN15" s="1">
        <v>1346612</v>
      </c>
      <c r="AO15" s="1">
        <v>1369429</v>
      </c>
      <c r="AP15" s="1">
        <v>1393610</v>
      </c>
      <c r="AQ15" s="1">
        <v>1419826</v>
      </c>
      <c r="AR15" s="1">
        <v>1445215</v>
      </c>
      <c r="AS15" s="1">
        <v>1478215</v>
      </c>
      <c r="AT15" s="1">
        <v>1497573</v>
      </c>
      <c r="AU15" s="1">
        <v>1523054</v>
      </c>
      <c r="AV15" s="1">
        <v>1541317</v>
      </c>
      <c r="AW15" s="1">
        <v>1567021</v>
      </c>
      <c r="AX15" s="1">
        <v>1588281</v>
      </c>
      <c r="AY15" s="1">
        <v>1614226</v>
      </c>
      <c r="AZ15" s="1">
        <v>1635648</v>
      </c>
      <c r="BA15" s="1">
        <v>1653700</v>
      </c>
      <c r="BB15" s="1">
        <v>1670547</v>
      </c>
      <c r="BC15" s="1">
        <v>1689564</v>
      </c>
      <c r="BD15" s="1">
        <v>1707467</v>
      </c>
      <c r="BE15" s="1">
        <v>1725733</v>
      </c>
      <c r="BF15" s="1">
        <v>1742279</v>
      </c>
      <c r="BG15" s="1">
        <v>1760731</v>
      </c>
      <c r="BH15" s="1">
        <v>1779329</v>
      </c>
      <c r="BI15" s="1">
        <v>1798358</v>
      </c>
      <c r="BJ15" s="1">
        <v>1816778</v>
      </c>
      <c r="BK15" s="1">
        <v>1836080</v>
      </c>
      <c r="BL15" s="1">
        <v>1858594</v>
      </c>
      <c r="BM15" s="1">
        <v>1880171</v>
      </c>
      <c r="BN15" s="1">
        <v>1904171</v>
      </c>
      <c r="BO15" s="1">
        <v>1932218</v>
      </c>
      <c r="BP15" s="1">
        <v>1958766</v>
      </c>
      <c r="BQ15" s="1">
        <v>1985418</v>
      </c>
      <c r="BR15" s="1">
        <v>2009853</v>
      </c>
      <c r="BS15" s="1">
        <v>2040138</v>
      </c>
      <c r="BT15" s="1">
        <v>2063095</v>
      </c>
      <c r="BU15" s="1">
        <v>2090877</v>
      </c>
      <c r="BV15" s="1">
        <v>2122172</v>
      </c>
      <c r="BW15" s="1">
        <v>2151036</v>
      </c>
      <c r="BX15" s="1">
        <v>2173247</v>
      </c>
      <c r="BY15" s="1">
        <v>2196948</v>
      </c>
      <c r="BZ15" s="1">
        <v>2219360</v>
      </c>
      <c r="CA15" s="1">
        <v>2237835</v>
      </c>
      <c r="CB15" s="1">
        <v>2257764</v>
      </c>
      <c r="CC15" s="1">
        <v>2280286</v>
      </c>
      <c r="CD15" s="1">
        <v>2299013</v>
      </c>
      <c r="CE15" s="1">
        <v>2319014</v>
      </c>
      <c r="CF15" s="1">
        <v>2344290</v>
      </c>
      <c r="CG15" s="1">
        <v>2370174</v>
      </c>
      <c r="CH15" s="1">
        <v>2394850</v>
      </c>
      <c r="CI15" s="1">
        <v>2394250</v>
      </c>
      <c r="CJ15" s="1">
        <v>2430230</v>
      </c>
      <c r="CK15" s="1">
        <v>2466309</v>
      </c>
      <c r="CL15" s="1">
        <v>2496003</v>
      </c>
      <c r="CM15" s="1">
        <v>2549640</v>
      </c>
      <c r="CN15" s="1">
        <v>2598348</v>
      </c>
      <c r="CO15" s="1">
        <v>2652460</v>
      </c>
      <c r="CP15" s="1">
        <v>2706601</v>
      </c>
      <c r="CQ15" s="1">
        <v>2761366</v>
      </c>
      <c r="CR15" s="1">
        <v>2800176</v>
      </c>
      <c r="CS15" s="1">
        <v>2825222</v>
      </c>
      <c r="CT15" s="1">
        <v>2843305</v>
      </c>
      <c r="CU15" s="1">
        <v>2863734</v>
      </c>
      <c r="CV15" s="1">
        <v>2889882</v>
      </c>
      <c r="CW15" s="1">
        <v>2915960</v>
      </c>
      <c r="CX15" s="1">
        <v>2942323</v>
      </c>
      <c r="CY15" s="1">
        <v>2966461</v>
      </c>
    </row>
    <row r="16" spans="1:103" x14ac:dyDescent="0.25">
      <c r="A16" t="s">
        <v>312</v>
      </c>
      <c r="B16" s="1">
        <v>167436</v>
      </c>
      <c r="C16" s="1">
        <v>171510</v>
      </c>
      <c r="D16" s="1">
        <v>175873</v>
      </c>
      <c r="E16" s="1">
        <v>182460</v>
      </c>
      <c r="F16" s="1">
        <v>187856</v>
      </c>
      <c r="G16" s="1">
        <v>191907</v>
      </c>
      <c r="H16" s="1">
        <v>199183</v>
      </c>
      <c r="I16" s="1">
        <v>204488</v>
      </c>
      <c r="J16" s="1">
        <v>204324</v>
      </c>
      <c r="K16" s="1">
        <v>208791</v>
      </c>
      <c r="L16" s="1">
        <v>213122</v>
      </c>
      <c r="M16" s="1">
        <v>217036</v>
      </c>
      <c r="N16" s="1">
        <v>221694</v>
      </c>
      <c r="O16" s="1">
        <v>226637</v>
      </c>
      <c r="P16" s="1">
        <v>232817</v>
      </c>
      <c r="Q16" s="1">
        <v>237861</v>
      </c>
      <c r="R16" s="1">
        <v>241532</v>
      </c>
      <c r="S16" s="1">
        <v>249684</v>
      </c>
      <c r="T16" s="1">
        <v>255753</v>
      </c>
      <c r="U16" s="1">
        <v>263016</v>
      </c>
      <c r="V16" s="1">
        <v>270225</v>
      </c>
      <c r="W16" s="1">
        <v>280369</v>
      </c>
      <c r="X16" s="1">
        <v>286816</v>
      </c>
      <c r="Y16" s="1">
        <v>297396</v>
      </c>
      <c r="Z16" s="1">
        <v>310396</v>
      </c>
      <c r="AA16" s="1">
        <v>318247</v>
      </c>
      <c r="AB16" s="1">
        <v>325090</v>
      </c>
      <c r="AC16" s="1">
        <v>332511</v>
      </c>
      <c r="AD16" s="1">
        <v>340059</v>
      </c>
      <c r="AE16" s="1">
        <v>347071</v>
      </c>
      <c r="AF16" s="1">
        <v>356317</v>
      </c>
      <c r="AG16" s="1">
        <v>364368</v>
      </c>
      <c r="AH16" s="1">
        <v>373392</v>
      </c>
      <c r="AI16" s="1">
        <v>384005</v>
      </c>
      <c r="AJ16" s="1">
        <v>392516</v>
      </c>
      <c r="AK16" s="1">
        <v>399279</v>
      </c>
      <c r="AL16" s="1">
        <v>410832</v>
      </c>
      <c r="AM16" s="1">
        <v>419689</v>
      </c>
      <c r="AN16" s="1">
        <v>427091</v>
      </c>
      <c r="AO16" s="1">
        <v>431766</v>
      </c>
      <c r="AP16" s="1">
        <v>441141</v>
      </c>
      <c r="AQ16" s="1">
        <v>451870</v>
      </c>
      <c r="AR16" s="1">
        <v>459039</v>
      </c>
      <c r="AS16" s="1">
        <v>471881</v>
      </c>
      <c r="AT16" s="1">
        <v>472160</v>
      </c>
      <c r="AU16" s="1">
        <v>471955</v>
      </c>
      <c r="AV16" s="1">
        <v>476483</v>
      </c>
      <c r="AW16" s="1">
        <v>483151</v>
      </c>
      <c r="AX16" s="1">
        <v>487363</v>
      </c>
      <c r="AY16" s="1">
        <v>491841</v>
      </c>
      <c r="AZ16" s="1">
        <v>494455</v>
      </c>
      <c r="BA16" s="1">
        <v>496639</v>
      </c>
      <c r="BB16" s="1">
        <v>495041</v>
      </c>
      <c r="BC16" s="1">
        <v>498864</v>
      </c>
      <c r="BD16" s="1">
        <v>504321</v>
      </c>
      <c r="BE16" s="1">
        <v>508075</v>
      </c>
      <c r="BF16" s="1">
        <v>512423</v>
      </c>
      <c r="BG16" s="1">
        <v>515426</v>
      </c>
      <c r="BH16" s="1">
        <v>519114</v>
      </c>
      <c r="BI16" s="1">
        <v>523575</v>
      </c>
      <c r="BJ16" s="1">
        <v>526923</v>
      </c>
      <c r="BK16" s="1">
        <v>531930</v>
      </c>
      <c r="BL16" s="1">
        <v>535850</v>
      </c>
      <c r="BM16" s="1">
        <v>539151</v>
      </c>
      <c r="BN16" s="1">
        <v>542587</v>
      </c>
      <c r="BO16" s="1">
        <v>543913</v>
      </c>
      <c r="BP16" s="1">
        <v>546018</v>
      </c>
      <c r="BQ16" s="1">
        <v>547582</v>
      </c>
      <c r="BR16" s="1">
        <v>551163</v>
      </c>
      <c r="BS16" s="1">
        <v>556246</v>
      </c>
      <c r="BT16" s="1">
        <v>555788</v>
      </c>
      <c r="BU16" s="1">
        <v>560741</v>
      </c>
      <c r="BV16" s="1">
        <v>568328</v>
      </c>
      <c r="BW16" s="1">
        <v>573271</v>
      </c>
      <c r="BX16" s="1">
        <v>576024</v>
      </c>
      <c r="BY16" s="1">
        <v>580048</v>
      </c>
      <c r="BZ16" s="1">
        <v>582643</v>
      </c>
      <c r="CA16" s="1">
        <v>585676</v>
      </c>
      <c r="CB16" s="1">
        <v>589506</v>
      </c>
      <c r="CC16" s="1">
        <v>593456</v>
      </c>
      <c r="CD16" s="1">
        <v>595145</v>
      </c>
      <c r="CE16" s="1">
        <v>596933</v>
      </c>
      <c r="CF16" s="1">
        <v>598267</v>
      </c>
      <c r="CG16" s="1">
        <v>600385</v>
      </c>
      <c r="CH16" s="1">
        <v>594709</v>
      </c>
      <c r="CI16" s="1">
        <v>571884</v>
      </c>
      <c r="CJ16" s="1">
        <v>576067</v>
      </c>
      <c r="CK16" s="1">
        <v>572026</v>
      </c>
      <c r="CL16" s="1">
        <v>564551</v>
      </c>
      <c r="CM16" s="1">
        <v>561895</v>
      </c>
      <c r="CN16" s="1">
        <v>566162</v>
      </c>
      <c r="CO16" s="1">
        <v>571349</v>
      </c>
      <c r="CP16" s="1">
        <v>578271</v>
      </c>
      <c r="CQ16" s="1">
        <v>585289</v>
      </c>
      <c r="CR16" s="1">
        <v>591254</v>
      </c>
      <c r="CS16" s="1">
        <v>595078</v>
      </c>
      <c r="CT16" s="1">
        <v>596660</v>
      </c>
      <c r="CU16" s="1">
        <v>600890</v>
      </c>
      <c r="CV16" s="1">
        <v>604212</v>
      </c>
      <c r="CW16" s="1">
        <v>611406</v>
      </c>
      <c r="CX16" s="1">
        <v>618531</v>
      </c>
      <c r="CY16" s="1">
        <v>621858</v>
      </c>
    </row>
    <row r="17" spans="1:103" x14ac:dyDescent="0.25">
      <c r="A17" t="s">
        <v>313</v>
      </c>
      <c r="B17" s="1">
        <v>40110</v>
      </c>
      <c r="C17" s="1">
        <v>40697</v>
      </c>
      <c r="D17" s="1">
        <v>40447</v>
      </c>
      <c r="E17" s="1">
        <v>40646</v>
      </c>
      <c r="F17" s="1">
        <v>41703</v>
      </c>
      <c r="G17" s="1">
        <v>41976</v>
      </c>
      <c r="H17" s="1">
        <v>42155</v>
      </c>
      <c r="I17" s="1">
        <v>41805</v>
      </c>
      <c r="J17" s="1">
        <v>44080</v>
      </c>
      <c r="K17" s="1">
        <v>43945</v>
      </c>
      <c r="L17" s="1">
        <v>43916</v>
      </c>
      <c r="M17" s="1">
        <v>43625</v>
      </c>
      <c r="N17" s="1">
        <v>43995</v>
      </c>
      <c r="O17" s="1">
        <v>43948</v>
      </c>
      <c r="P17" s="1">
        <v>44744</v>
      </c>
      <c r="Q17" s="1">
        <v>44954</v>
      </c>
      <c r="R17" s="1">
        <v>44166</v>
      </c>
      <c r="S17" s="1">
        <v>44793</v>
      </c>
      <c r="T17" s="1">
        <v>45111</v>
      </c>
      <c r="U17" s="1">
        <v>45454</v>
      </c>
      <c r="V17" s="1">
        <v>45998</v>
      </c>
      <c r="W17" s="1">
        <v>46491</v>
      </c>
      <c r="X17" s="1">
        <v>47008</v>
      </c>
      <c r="Y17" s="1">
        <v>47513</v>
      </c>
      <c r="Z17" s="1">
        <v>50755</v>
      </c>
      <c r="AA17" s="1">
        <v>51095</v>
      </c>
      <c r="AB17" s="1">
        <v>52011</v>
      </c>
      <c r="AC17" s="1">
        <v>52980</v>
      </c>
      <c r="AD17" s="1">
        <v>54558</v>
      </c>
      <c r="AE17" s="1">
        <v>56678</v>
      </c>
      <c r="AF17" s="1">
        <v>59296</v>
      </c>
      <c r="AG17" s="1">
        <v>62143</v>
      </c>
      <c r="AH17" s="1">
        <v>63999</v>
      </c>
      <c r="AI17" s="1">
        <v>66100</v>
      </c>
      <c r="AJ17" s="1">
        <v>67034</v>
      </c>
      <c r="AK17" s="1">
        <v>68876</v>
      </c>
      <c r="AL17" s="1">
        <v>70428</v>
      </c>
      <c r="AM17" s="1">
        <v>71741</v>
      </c>
      <c r="AN17" s="1">
        <v>72850</v>
      </c>
      <c r="AO17" s="1">
        <v>74127</v>
      </c>
      <c r="AP17" s="1">
        <v>72546</v>
      </c>
      <c r="AQ17" s="1">
        <v>73117</v>
      </c>
      <c r="AR17" s="1">
        <v>73902</v>
      </c>
      <c r="AS17" s="1">
        <v>73673</v>
      </c>
      <c r="AT17" s="1">
        <v>75150</v>
      </c>
      <c r="AU17" s="1">
        <v>76206</v>
      </c>
      <c r="AV17" s="1">
        <v>77176</v>
      </c>
      <c r="AW17" s="1">
        <v>77084</v>
      </c>
      <c r="AX17" s="1">
        <v>77505</v>
      </c>
      <c r="AY17" s="1">
        <v>77516</v>
      </c>
      <c r="AZ17" s="1">
        <v>77212</v>
      </c>
      <c r="BA17" s="1">
        <v>80153</v>
      </c>
      <c r="BB17" s="1">
        <v>81405</v>
      </c>
      <c r="BC17" s="1">
        <v>83241</v>
      </c>
      <c r="BD17" s="1">
        <v>82965</v>
      </c>
      <c r="BE17" s="1">
        <v>82886</v>
      </c>
      <c r="BF17" s="1">
        <v>83527</v>
      </c>
      <c r="BG17" s="1">
        <v>83780</v>
      </c>
      <c r="BH17" s="1">
        <v>84994</v>
      </c>
      <c r="BI17" s="1">
        <v>85526</v>
      </c>
      <c r="BJ17" s="1">
        <v>86079</v>
      </c>
      <c r="BK17" s="1">
        <v>86640</v>
      </c>
      <c r="BL17" s="1">
        <v>88703</v>
      </c>
      <c r="BM17" s="1">
        <v>90361</v>
      </c>
      <c r="BN17" s="1">
        <v>90840</v>
      </c>
      <c r="BO17" s="1">
        <v>97107</v>
      </c>
      <c r="BP17" s="1">
        <v>97765</v>
      </c>
      <c r="BQ17" s="1">
        <v>98544</v>
      </c>
      <c r="BR17" s="1">
        <v>100440</v>
      </c>
      <c r="BS17" s="1">
        <v>101527</v>
      </c>
      <c r="BT17" s="1">
        <v>101559</v>
      </c>
      <c r="BU17" s="1">
        <v>104538</v>
      </c>
      <c r="BV17" s="1">
        <v>106872</v>
      </c>
      <c r="BW17" s="1">
        <v>107880</v>
      </c>
      <c r="BX17" s="1">
        <v>109277</v>
      </c>
      <c r="BY17" s="1">
        <v>109599</v>
      </c>
      <c r="BZ17" s="1">
        <v>112393</v>
      </c>
      <c r="CA17" s="1">
        <v>116559</v>
      </c>
      <c r="CB17" s="1">
        <v>118501</v>
      </c>
      <c r="CC17" s="1">
        <v>119789</v>
      </c>
      <c r="CD17" s="1">
        <v>119944</v>
      </c>
      <c r="CE17" s="1">
        <v>120823</v>
      </c>
      <c r="CF17" s="1">
        <v>122022</v>
      </c>
      <c r="CG17" s="1">
        <v>123234</v>
      </c>
      <c r="CH17" s="1">
        <v>123682</v>
      </c>
      <c r="CI17" s="1">
        <v>125491</v>
      </c>
      <c r="CJ17" s="1">
        <v>125736</v>
      </c>
      <c r="CK17" s="1">
        <v>126816</v>
      </c>
      <c r="CL17" s="1">
        <v>127593</v>
      </c>
      <c r="CM17" s="1">
        <v>129374</v>
      </c>
      <c r="CN17" s="1">
        <v>130333</v>
      </c>
      <c r="CO17" s="1">
        <v>131103</v>
      </c>
      <c r="CP17" s="1">
        <v>132940</v>
      </c>
      <c r="CQ17" s="1">
        <v>133081</v>
      </c>
      <c r="CR17" s="1">
        <v>133912</v>
      </c>
      <c r="CS17" s="1">
        <v>135417</v>
      </c>
      <c r="CT17" s="1">
        <v>135032</v>
      </c>
      <c r="CU17" s="1">
        <v>135847</v>
      </c>
      <c r="CV17" s="1">
        <v>137922</v>
      </c>
      <c r="CW17" s="1">
        <v>138632</v>
      </c>
      <c r="CX17" s="1">
        <v>140922</v>
      </c>
      <c r="CY17" s="1">
        <v>143510</v>
      </c>
    </row>
    <row r="18" spans="1:103" x14ac:dyDescent="0.25">
      <c r="A18" t="s">
        <v>314</v>
      </c>
      <c r="B18" s="1">
        <v>393392</v>
      </c>
      <c r="C18" s="1">
        <v>399118</v>
      </c>
      <c r="D18" s="1">
        <v>402059</v>
      </c>
      <c r="E18" s="1">
        <v>405482</v>
      </c>
      <c r="F18" s="1">
        <v>412783</v>
      </c>
      <c r="G18" s="1">
        <v>415628</v>
      </c>
      <c r="H18" s="1">
        <v>419050</v>
      </c>
      <c r="I18" s="1">
        <v>422041</v>
      </c>
      <c r="J18" s="1">
        <v>426576</v>
      </c>
      <c r="K18" s="1">
        <v>431553</v>
      </c>
      <c r="L18" s="1">
        <v>438442</v>
      </c>
      <c r="M18" s="1">
        <v>446147</v>
      </c>
      <c r="N18" s="1">
        <v>454223</v>
      </c>
      <c r="O18" s="1">
        <v>465348</v>
      </c>
      <c r="P18" s="1">
        <v>472040</v>
      </c>
      <c r="Q18" s="1">
        <v>480733</v>
      </c>
      <c r="R18" s="1">
        <v>489465</v>
      </c>
      <c r="S18" s="1">
        <v>494733</v>
      </c>
      <c r="T18" s="1">
        <v>507278</v>
      </c>
      <c r="U18" s="1">
        <v>518136</v>
      </c>
      <c r="V18" s="1">
        <v>530603</v>
      </c>
      <c r="W18" s="1">
        <v>545924</v>
      </c>
      <c r="X18" s="1">
        <v>559352</v>
      </c>
      <c r="Y18" s="1">
        <v>572614</v>
      </c>
      <c r="Z18" s="1">
        <v>583861</v>
      </c>
      <c r="AA18" s="1">
        <v>598245</v>
      </c>
      <c r="AB18" s="1">
        <v>614449</v>
      </c>
      <c r="AC18" s="1">
        <v>628971</v>
      </c>
      <c r="AD18" s="1">
        <v>645916</v>
      </c>
      <c r="AE18" s="1">
        <v>658583</v>
      </c>
      <c r="AF18" s="1">
        <v>673211</v>
      </c>
      <c r="AG18" s="1">
        <v>694200</v>
      </c>
      <c r="AH18" s="1">
        <v>717971</v>
      </c>
      <c r="AI18" s="1">
        <v>742115</v>
      </c>
      <c r="AJ18" s="1">
        <v>766287</v>
      </c>
      <c r="AK18" s="1">
        <v>790278</v>
      </c>
      <c r="AL18" s="1">
        <v>806760</v>
      </c>
      <c r="AM18" s="1">
        <v>827139</v>
      </c>
      <c r="AN18" s="1">
        <v>846671</v>
      </c>
      <c r="AO18" s="1">
        <v>863536</v>
      </c>
      <c r="AP18" s="1">
        <v>879923</v>
      </c>
      <c r="AQ18" s="1">
        <v>894839</v>
      </c>
      <c r="AR18" s="1">
        <v>912274</v>
      </c>
      <c r="AS18" s="1">
        <v>932661</v>
      </c>
      <c r="AT18" s="1">
        <v>950263</v>
      </c>
      <c r="AU18" s="1">
        <v>974893</v>
      </c>
      <c r="AV18" s="1">
        <v>987658</v>
      </c>
      <c r="AW18" s="1">
        <v>1006786</v>
      </c>
      <c r="AX18" s="1">
        <v>1023413</v>
      </c>
      <c r="AY18" s="1">
        <v>1044869</v>
      </c>
      <c r="AZ18" s="1">
        <v>1063981</v>
      </c>
      <c r="BA18" s="1">
        <v>1076908</v>
      </c>
      <c r="BB18" s="1">
        <v>1094101</v>
      </c>
      <c r="BC18" s="1">
        <v>1107459</v>
      </c>
      <c r="BD18" s="1">
        <v>1120181</v>
      </c>
      <c r="BE18" s="1">
        <v>1134772</v>
      </c>
      <c r="BF18" s="1">
        <v>1146329</v>
      </c>
      <c r="BG18" s="1">
        <v>1161525</v>
      </c>
      <c r="BH18" s="1">
        <v>1175221</v>
      </c>
      <c r="BI18" s="1">
        <v>1189257</v>
      </c>
      <c r="BJ18" s="1">
        <v>1203776</v>
      </c>
      <c r="BK18" s="1">
        <v>1217510</v>
      </c>
      <c r="BL18" s="1">
        <v>1234041</v>
      </c>
      <c r="BM18" s="1">
        <v>1250659</v>
      </c>
      <c r="BN18" s="1">
        <v>1270744</v>
      </c>
      <c r="BO18" s="1">
        <v>1291198</v>
      </c>
      <c r="BP18" s="1">
        <v>1314983</v>
      </c>
      <c r="BQ18" s="1">
        <v>1339292</v>
      </c>
      <c r="BR18" s="1">
        <v>1358250</v>
      </c>
      <c r="BS18" s="1">
        <v>1382365</v>
      </c>
      <c r="BT18" s="1">
        <v>1405748</v>
      </c>
      <c r="BU18" s="1">
        <v>1425598</v>
      </c>
      <c r="BV18" s="1">
        <v>1446972</v>
      </c>
      <c r="BW18" s="1">
        <v>1469885</v>
      </c>
      <c r="BX18" s="1">
        <v>1487946</v>
      </c>
      <c r="BY18" s="1">
        <v>1507301</v>
      </c>
      <c r="BZ18" s="1">
        <v>1524324</v>
      </c>
      <c r="CA18" s="1">
        <v>1535600</v>
      </c>
      <c r="CB18" s="1">
        <v>1549757</v>
      </c>
      <c r="CC18" s="1">
        <v>1567041</v>
      </c>
      <c r="CD18" s="1">
        <v>1583924</v>
      </c>
      <c r="CE18" s="1">
        <v>1601258</v>
      </c>
      <c r="CF18" s="1">
        <v>1624001</v>
      </c>
      <c r="CG18" s="1">
        <v>1646555</v>
      </c>
      <c r="CH18" s="1">
        <v>1676459</v>
      </c>
      <c r="CI18" s="1">
        <v>1696875</v>
      </c>
      <c r="CJ18" s="1">
        <v>1728427</v>
      </c>
      <c r="CK18" s="1">
        <v>1767467</v>
      </c>
      <c r="CL18" s="1">
        <v>1803859</v>
      </c>
      <c r="CM18" s="1">
        <v>1858371</v>
      </c>
      <c r="CN18" s="1">
        <v>1901853</v>
      </c>
      <c r="CO18" s="1">
        <v>1950008</v>
      </c>
      <c r="CP18" s="1">
        <v>1995390</v>
      </c>
      <c r="CQ18" s="1">
        <v>2042996</v>
      </c>
      <c r="CR18" s="1">
        <v>2075010</v>
      </c>
      <c r="CS18" s="1">
        <v>2094727</v>
      </c>
      <c r="CT18" s="1">
        <v>2111613</v>
      </c>
      <c r="CU18" s="1">
        <v>2126997</v>
      </c>
      <c r="CV18" s="1">
        <v>2147748</v>
      </c>
      <c r="CW18" s="1">
        <v>2165922</v>
      </c>
      <c r="CX18" s="1">
        <v>2182870</v>
      </c>
      <c r="CY18" s="1">
        <v>2201093</v>
      </c>
    </row>
    <row r="19" spans="1:103" x14ac:dyDescent="0.25">
      <c r="A19" t="s">
        <v>315</v>
      </c>
      <c r="B19" s="1">
        <v>5593</v>
      </c>
      <c r="C19" s="1">
        <v>10804</v>
      </c>
      <c r="D19" s="1">
        <v>7339</v>
      </c>
      <c r="E19" s="1">
        <v>10656</v>
      </c>
      <c r="F19" s="1">
        <v>14009</v>
      </c>
      <c r="G19" s="1">
        <v>7403</v>
      </c>
      <c r="H19" s="1">
        <v>11130</v>
      </c>
      <c r="I19" s="1">
        <v>8410</v>
      </c>
      <c r="J19" s="1">
        <v>6911</v>
      </c>
      <c r="K19" s="1">
        <v>9774</v>
      </c>
      <c r="L19" s="1">
        <v>11524</v>
      </c>
      <c r="M19" s="1">
        <v>11826</v>
      </c>
      <c r="N19" s="1">
        <v>13653</v>
      </c>
      <c r="O19" s="1">
        <v>16759</v>
      </c>
      <c r="P19" s="1">
        <v>14285</v>
      </c>
      <c r="Q19" s="1">
        <v>14684</v>
      </c>
      <c r="R19" s="1">
        <v>12108</v>
      </c>
      <c r="S19" s="1">
        <v>14584</v>
      </c>
      <c r="T19" s="1">
        <v>19322</v>
      </c>
      <c r="U19" s="1">
        <v>19111</v>
      </c>
      <c r="V19" s="1">
        <v>20669</v>
      </c>
      <c r="W19" s="1">
        <v>26433</v>
      </c>
      <c r="X19" s="1">
        <v>20890</v>
      </c>
      <c r="Y19" s="1">
        <v>24949</v>
      </c>
      <c r="Z19" s="1">
        <v>23078</v>
      </c>
      <c r="AA19" s="1">
        <v>22960</v>
      </c>
      <c r="AB19" s="1">
        <v>24478</v>
      </c>
      <c r="AC19" s="1">
        <v>23342</v>
      </c>
      <c r="AD19" s="1">
        <v>26466</v>
      </c>
      <c r="AE19" s="1">
        <v>22242</v>
      </c>
      <c r="AF19" s="1">
        <v>26892</v>
      </c>
      <c r="AG19" s="1">
        <v>32261</v>
      </c>
      <c r="AH19" s="1">
        <v>35102</v>
      </c>
      <c r="AI19" s="1">
        <v>36835</v>
      </c>
      <c r="AJ19" s="1">
        <v>34181</v>
      </c>
      <c r="AK19" s="1">
        <v>33020</v>
      </c>
      <c r="AL19" s="1">
        <v>30006</v>
      </c>
      <c r="AM19" s="1">
        <v>31078</v>
      </c>
      <c r="AN19" s="1">
        <v>28471</v>
      </c>
      <c r="AO19" s="1">
        <v>23181</v>
      </c>
      <c r="AP19" s="1">
        <v>24765</v>
      </c>
      <c r="AQ19" s="1">
        <v>27233</v>
      </c>
      <c r="AR19" s="1">
        <v>26470</v>
      </c>
      <c r="AS19" s="1">
        <v>34045</v>
      </c>
      <c r="AT19" s="1">
        <v>27382</v>
      </c>
      <c r="AU19" s="1">
        <v>26401</v>
      </c>
      <c r="AV19" s="1">
        <v>19246</v>
      </c>
      <c r="AW19" s="1">
        <v>26800</v>
      </c>
      <c r="AX19" s="1">
        <v>29049</v>
      </c>
      <c r="AY19" s="1">
        <v>26812</v>
      </c>
      <c r="AZ19" s="1">
        <v>22027</v>
      </c>
      <c r="BA19" s="1">
        <v>18817</v>
      </c>
      <c r="BB19" s="1">
        <v>19489</v>
      </c>
      <c r="BC19" s="1">
        <v>19765</v>
      </c>
      <c r="BD19" s="1">
        <v>18761</v>
      </c>
      <c r="BE19" s="1">
        <v>19009</v>
      </c>
      <c r="BF19" s="1">
        <v>18586</v>
      </c>
      <c r="BG19" s="1">
        <v>19018</v>
      </c>
      <c r="BH19" s="1">
        <v>19330</v>
      </c>
      <c r="BI19" s="1">
        <v>19632</v>
      </c>
      <c r="BJ19" s="1">
        <v>18897</v>
      </c>
      <c r="BK19" s="1">
        <v>20270</v>
      </c>
      <c r="BL19" s="1">
        <v>23032</v>
      </c>
      <c r="BM19" s="1">
        <v>22253</v>
      </c>
      <c r="BN19" s="1">
        <v>24296</v>
      </c>
      <c r="BO19" s="1">
        <v>28942</v>
      </c>
      <c r="BP19" s="1">
        <v>26979</v>
      </c>
      <c r="BQ19" s="1">
        <v>27300</v>
      </c>
      <c r="BR19" s="1">
        <v>21709</v>
      </c>
      <c r="BS19" s="1">
        <v>31308</v>
      </c>
      <c r="BT19" s="1">
        <v>23844</v>
      </c>
      <c r="BU19" s="1">
        <v>28783</v>
      </c>
      <c r="BV19" s="1">
        <v>32425</v>
      </c>
      <c r="BW19" s="1">
        <v>29820</v>
      </c>
      <c r="BX19" s="1">
        <v>23497</v>
      </c>
      <c r="BY19" s="1">
        <v>24646</v>
      </c>
      <c r="BZ19" s="1">
        <v>24187</v>
      </c>
      <c r="CA19" s="1">
        <v>19474</v>
      </c>
      <c r="CB19" s="1">
        <v>20999</v>
      </c>
      <c r="CC19" s="1">
        <v>23303</v>
      </c>
      <c r="CD19" s="1">
        <v>19872</v>
      </c>
      <c r="CE19" s="1">
        <v>19745</v>
      </c>
      <c r="CF19" s="1">
        <v>26286</v>
      </c>
      <c r="CG19" s="1">
        <v>27105</v>
      </c>
      <c r="CH19" s="1">
        <v>24578</v>
      </c>
      <c r="CI19">
        <v>587</v>
      </c>
      <c r="CJ19" s="1">
        <v>37076</v>
      </c>
      <c r="CK19" s="1">
        <v>37338</v>
      </c>
      <c r="CL19" s="1">
        <v>30451</v>
      </c>
      <c r="CM19" s="1">
        <v>54780</v>
      </c>
      <c r="CN19" s="1">
        <v>49350</v>
      </c>
      <c r="CO19" s="1">
        <v>54975</v>
      </c>
      <c r="CP19" s="1">
        <v>55045</v>
      </c>
      <c r="CQ19" s="1">
        <v>55326</v>
      </c>
      <c r="CR19" s="1">
        <v>39021</v>
      </c>
      <c r="CS19" s="1">
        <v>25925</v>
      </c>
      <c r="CT19" s="1">
        <v>20348</v>
      </c>
      <c r="CU19" s="1">
        <v>21537</v>
      </c>
      <c r="CV19" s="1">
        <v>26880</v>
      </c>
      <c r="CW19" s="1">
        <v>27152</v>
      </c>
      <c r="CX19" s="1">
        <v>27502</v>
      </c>
      <c r="CY19" s="1">
        <v>25117</v>
      </c>
    </row>
    <row r="20" spans="1:103" x14ac:dyDescent="0.25">
      <c r="A20" t="s">
        <v>316</v>
      </c>
      <c r="B20" s="1">
        <v>5571</v>
      </c>
      <c r="C20" s="1">
        <v>4263</v>
      </c>
      <c r="D20" s="1">
        <v>4507</v>
      </c>
      <c r="E20" s="1">
        <v>6748</v>
      </c>
      <c r="F20" s="1">
        <v>5519</v>
      </c>
      <c r="G20" s="1">
        <v>4151</v>
      </c>
      <c r="H20" s="1">
        <v>7392</v>
      </c>
      <c r="I20" s="1">
        <v>5472</v>
      </c>
      <c r="J20">
        <v>-36</v>
      </c>
      <c r="K20" s="1">
        <v>4660</v>
      </c>
      <c r="L20" s="1">
        <v>4473</v>
      </c>
      <c r="M20" s="1">
        <v>4083</v>
      </c>
      <c r="N20" s="1">
        <v>4862</v>
      </c>
      <c r="O20" s="1">
        <v>5176</v>
      </c>
      <c r="P20" s="1">
        <v>6358</v>
      </c>
      <c r="Q20" s="1">
        <v>5258</v>
      </c>
      <c r="R20" s="1">
        <v>3921</v>
      </c>
      <c r="S20" s="1">
        <v>8418</v>
      </c>
      <c r="T20" s="1">
        <v>6298</v>
      </c>
      <c r="U20" s="1">
        <v>7577</v>
      </c>
      <c r="V20" s="1">
        <v>7459</v>
      </c>
      <c r="W20" s="1">
        <v>10397</v>
      </c>
      <c r="X20" s="1">
        <v>6729</v>
      </c>
      <c r="Y20" s="1">
        <v>10868</v>
      </c>
      <c r="Z20" s="1">
        <v>8462</v>
      </c>
      <c r="AA20" s="1">
        <v>8141</v>
      </c>
      <c r="AB20" s="1">
        <v>7138</v>
      </c>
      <c r="AC20" s="1">
        <v>7722</v>
      </c>
      <c r="AD20" s="1">
        <v>7827</v>
      </c>
      <c r="AE20" s="1">
        <v>7302</v>
      </c>
      <c r="AF20" s="1">
        <v>9518</v>
      </c>
      <c r="AG20" s="1">
        <v>8335</v>
      </c>
      <c r="AH20" s="1">
        <v>9326</v>
      </c>
      <c r="AI20" s="1">
        <v>10370</v>
      </c>
      <c r="AJ20" s="1">
        <v>8853</v>
      </c>
      <c r="AK20" s="1">
        <v>7082</v>
      </c>
      <c r="AL20" s="1">
        <v>11866</v>
      </c>
      <c r="AM20" s="1">
        <v>9211</v>
      </c>
      <c r="AN20" s="1">
        <v>7749</v>
      </c>
      <c r="AO20" s="1">
        <v>5024</v>
      </c>
      <c r="AP20" s="1">
        <v>9830</v>
      </c>
      <c r="AQ20" s="1">
        <v>11346</v>
      </c>
      <c r="AR20" s="1">
        <v>7778</v>
      </c>
      <c r="AS20" s="1">
        <v>13471</v>
      </c>
      <c r="AT20" s="1">
        <v>7903</v>
      </c>
      <c r="AU20">
        <v>334</v>
      </c>
      <c r="AV20" s="1">
        <v>5083</v>
      </c>
      <c r="AW20" s="1">
        <v>7246</v>
      </c>
      <c r="AX20" s="1">
        <v>4768</v>
      </c>
      <c r="AY20" s="1">
        <v>5000</v>
      </c>
      <c r="AZ20" s="1">
        <v>3038</v>
      </c>
      <c r="BA20" s="1">
        <v>2593</v>
      </c>
      <c r="BB20">
        <v>738</v>
      </c>
      <c r="BC20" s="1">
        <v>4314</v>
      </c>
      <c r="BD20" s="1">
        <v>5975</v>
      </c>
      <c r="BE20" s="1">
        <v>4227</v>
      </c>
      <c r="BF20" s="1">
        <v>5648</v>
      </c>
      <c r="BG20" s="1">
        <v>3380</v>
      </c>
      <c r="BH20" s="1">
        <v>4101</v>
      </c>
      <c r="BI20" s="1">
        <v>4837</v>
      </c>
      <c r="BJ20" s="1">
        <v>3712</v>
      </c>
      <c r="BK20" s="1">
        <v>5614</v>
      </c>
      <c r="BL20" s="1">
        <v>4427</v>
      </c>
      <c r="BM20" s="1">
        <v>3831</v>
      </c>
      <c r="BN20" s="1">
        <v>3884</v>
      </c>
      <c r="BO20" s="1">
        <v>1907</v>
      </c>
      <c r="BP20" s="1">
        <v>2519</v>
      </c>
      <c r="BQ20" s="1">
        <v>2071</v>
      </c>
      <c r="BR20" s="1">
        <v>1764</v>
      </c>
      <c r="BS20" s="1">
        <v>5720</v>
      </c>
      <c r="BT20">
        <v>70</v>
      </c>
      <c r="BU20" s="1">
        <v>5540</v>
      </c>
      <c r="BV20" s="1">
        <v>8207</v>
      </c>
      <c r="BW20" s="1">
        <v>5586</v>
      </c>
      <c r="BX20" s="1">
        <v>3471</v>
      </c>
      <c r="BY20" s="1">
        <v>4588</v>
      </c>
      <c r="BZ20" s="1">
        <v>3194</v>
      </c>
      <c r="CA20" s="1">
        <v>4275</v>
      </c>
      <c r="CB20" s="1">
        <v>4481</v>
      </c>
      <c r="CC20" s="1">
        <v>4568</v>
      </c>
      <c r="CD20" s="1">
        <v>2359</v>
      </c>
      <c r="CE20" s="1">
        <v>2478</v>
      </c>
      <c r="CF20" s="1">
        <v>2017</v>
      </c>
      <c r="CG20" s="1">
        <v>2812</v>
      </c>
      <c r="CH20" s="1">
        <v>-5175</v>
      </c>
      <c r="CI20" s="1">
        <v>-22186</v>
      </c>
      <c r="CJ20" s="1">
        <v>4812</v>
      </c>
      <c r="CK20" s="1">
        <v>-3398</v>
      </c>
      <c r="CL20" s="1">
        <v>-7108</v>
      </c>
      <c r="CM20" s="1">
        <v>-2018</v>
      </c>
      <c r="CN20" s="1">
        <v>4768</v>
      </c>
      <c r="CO20" s="1">
        <v>5751</v>
      </c>
      <c r="CP20" s="1">
        <v>7534</v>
      </c>
      <c r="CQ20" s="1">
        <v>7595</v>
      </c>
      <c r="CR20" s="1">
        <v>6481</v>
      </c>
      <c r="CS20" s="1">
        <v>4399</v>
      </c>
      <c r="CT20" s="1">
        <v>3368</v>
      </c>
      <c r="CU20" s="1">
        <v>4933</v>
      </c>
      <c r="CV20" s="1">
        <v>3928</v>
      </c>
      <c r="CW20" s="1">
        <v>7869</v>
      </c>
      <c r="CX20" s="1">
        <v>7835</v>
      </c>
      <c r="CY20" s="1">
        <v>3970</v>
      </c>
    </row>
    <row r="21" spans="1:103" x14ac:dyDescent="0.25">
      <c r="A21" t="s">
        <v>317</v>
      </c>
      <c r="B21">
        <v>-983</v>
      </c>
      <c r="C21">
        <v>786</v>
      </c>
      <c r="D21">
        <v>-137</v>
      </c>
      <c r="E21">
        <v>458</v>
      </c>
      <c r="F21" s="1">
        <v>1160</v>
      </c>
      <c r="G21">
        <v>381</v>
      </c>
      <c r="H21">
        <v>289</v>
      </c>
      <c r="I21">
        <v>-83</v>
      </c>
      <c r="J21" s="1">
        <v>2383</v>
      </c>
      <c r="K21">
        <v>108</v>
      </c>
      <c r="L21">
        <v>133</v>
      </c>
      <c r="M21">
        <v>4</v>
      </c>
      <c r="N21">
        <v>683</v>
      </c>
      <c r="O21">
        <v>428</v>
      </c>
      <c r="P21" s="1">
        <v>1206</v>
      </c>
      <c r="Q21">
        <v>704</v>
      </c>
      <c r="R21">
        <v>-574</v>
      </c>
      <c r="S21">
        <v>871</v>
      </c>
      <c r="T21">
        <v>450</v>
      </c>
      <c r="U21">
        <v>648</v>
      </c>
      <c r="V21">
        <v>716</v>
      </c>
      <c r="W21">
        <v>689</v>
      </c>
      <c r="X21">
        <v>709</v>
      </c>
      <c r="Y21">
        <v>797</v>
      </c>
      <c r="Z21" s="1">
        <v>3344</v>
      </c>
      <c r="AA21">
        <v>412</v>
      </c>
      <c r="AB21" s="1">
        <v>1110</v>
      </c>
      <c r="AC21" s="1">
        <v>1072</v>
      </c>
      <c r="AD21" s="1">
        <v>1668</v>
      </c>
      <c r="AE21" s="1">
        <v>2248</v>
      </c>
      <c r="AF21" s="1">
        <v>2719</v>
      </c>
      <c r="AG21" s="1">
        <v>2911</v>
      </c>
      <c r="AH21" s="1">
        <v>1976</v>
      </c>
      <c r="AI21" s="1">
        <v>2292</v>
      </c>
      <c r="AJ21" s="1">
        <v>1125</v>
      </c>
      <c r="AK21" s="1">
        <v>1915</v>
      </c>
      <c r="AL21" s="1">
        <v>1623</v>
      </c>
      <c r="AM21" s="1">
        <v>1452</v>
      </c>
      <c r="AN21" s="1">
        <v>1152</v>
      </c>
      <c r="AO21" s="1">
        <v>1245</v>
      </c>
      <c r="AP21" s="1">
        <v>-1506</v>
      </c>
      <c r="AQ21">
        <v>923</v>
      </c>
      <c r="AR21" s="1">
        <v>1187</v>
      </c>
      <c r="AS21">
        <v>133</v>
      </c>
      <c r="AT21" s="1">
        <v>1805</v>
      </c>
      <c r="AU21" s="1">
        <v>1382</v>
      </c>
      <c r="AV21" s="1">
        <v>1334</v>
      </c>
      <c r="AW21">
        <v>352</v>
      </c>
      <c r="AX21">
        <v>753</v>
      </c>
      <c r="AY21">
        <v>319</v>
      </c>
      <c r="AZ21">
        <v>-195</v>
      </c>
      <c r="BA21" s="1">
        <v>3276</v>
      </c>
      <c r="BB21" s="1">
        <v>1535</v>
      </c>
      <c r="BC21" s="1">
        <v>2046</v>
      </c>
      <c r="BD21">
        <v>27</v>
      </c>
      <c r="BE21">
        <v>141</v>
      </c>
      <c r="BF21" s="1">
        <v>1343</v>
      </c>
      <c r="BG21">
        <v>393</v>
      </c>
      <c r="BH21" s="1">
        <v>1509</v>
      </c>
      <c r="BI21">
        <v>708</v>
      </c>
      <c r="BJ21">
        <v>650</v>
      </c>
      <c r="BK21">
        <v>883</v>
      </c>
      <c r="BL21" s="1">
        <v>2086</v>
      </c>
      <c r="BM21" s="1">
        <v>1768</v>
      </c>
      <c r="BN21">
        <v>413</v>
      </c>
      <c r="BO21" s="1">
        <v>6532</v>
      </c>
      <c r="BP21">
        <v>619</v>
      </c>
      <c r="BQ21">
        <v>837</v>
      </c>
      <c r="BR21">
        <v>952</v>
      </c>
      <c r="BS21" s="1">
        <v>1418</v>
      </c>
      <c r="BT21">
        <v>310</v>
      </c>
      <c r="BU21" s="1">
        <v>3214</v>
      </c>
      <c r="BV21" s="1">
        <v>2710</v>
      </c>
      <c r="BW21" s="1">
        <v>1292</v>
      </c>
      <c r="BX21" s="1">
        <v>1872</v>
      </c>
      <c r="BY21">
        <v>643</v>
      </c>
      <c r="BZ21" s="1">
        <v>3919</v>
      </c>
      <c r="CA21" s="1">
        <v>3774</v>
      </c>
      <c r="CB21" s="1">
        <v>2334</v>
      </c>
      <c r="CC21" s="1">
        <v>1344</v>
      </c>
      <c r="CD21">
        <v>587</v>
      </c>
      <c r="CE21">
        <v>-106</v>
      </c>
      <c r="CF21" s="1">
        <v>1457</v>
      </c>
      <c r="CG21" s="1">
        <v>1675</v>
      </c>
      <c r="CH21">
        <v>317</v>
      </c>
      <c r="CI21" s="1">
        <v>2314</v>
      </c>
      <c r="CJ21">
        <v>664</v>
      </c>
      <c r="CK21" s="1">
        <v>1643</v>
      </c>
      <c r="CL21" s="1">
        <v>1095</v>
      </c>
      <c r="CM21" s="1">
        <v>2239</v>
      </c>
      <c r="CN21" s="1">
        <v>1047</v>
      </c>
      <c r="CO21">
        <v>998</v>
      </c>
      <c r="CP21" s="1">
        <v>2099</v>
      </c>
      <c r="CQ21">
        <v>98</v>
      </c>
      <c r="CR21">
        <v>500</v>
      </c>
      <c r="CS21" s="1">
        <v>1766</v>
      </c>
      <c r="CT21">
        <v>-333</v>
      </c>
      <c r="CU21" s="1">
        <v>1145</v>
      </c>
      <c r="CV21" s="1">
        <v>2159</v>
      </c>
      <c r="CW21" s="1">
        <v>1076</v>
      </c>
      <c r="CX21" s="1">
        <v>2363</v>
      </c>
      <c r="CY21" s="1">
        <v>2866</v>
      </c>
    </row>
    <row r="22" spans="1:103" x14ac:dyDescent="0.25">
      <c r="A22" t="s">
        <v>318</v>
      </c>
      <c r="B22" s="1">
        <v>1005</v>
      </c>
      <c r="C22" s="1">
        <v>5755</v>
      </c>
      <c r="D22" s="1">
        <v>2969</v>
      </c>
      <c r="E22" s="1">
        <v>3450</v>
      </c>
      <c r="F22" s="1">
        <v>7330</v>
      </c>
      <c r="G22" s="1">
        <v>2871</v>
      </c>
      <c r="H22" s="1">
        <v>3449</v>
      </c>
      <c r="I22" s="1">
        <v>3021</v>
      </c>
      <c r="J22" s="1">
        <v>4564</v>
      </c>
      <c r="K22" s="1">
        <v>5006</v>
      </c>
      <c r="L22" s="1">
        <v>6918</v>
      </c>
      <c r="M22" s="1">
        <v>7739</v>
      </c>
      <c r="N22" s="1">
        <v>8108</v>
      </c>
      <c r="O22" s="1">
        <v>11155</v>
      </c>
      <c r="P22" s="1">
        <v>6721</v>
      </c>
      <c r="Q22" s="1">
        <v>8722</v>
      </c>
      <c r="R22" s="1">
        <v>8761</v>
      </c>
      <c r="S22" s="1">
        <v>5295</v>
      </c>
      <c r="T22" s="1">
        <v>12574</v>
      </c>
      <c r="U22" s="1">
        <v>10886</v>
      </c>
      <c r="V22" s="1">
        <v>12494</v>
      </c>
      <c r="W22" s="1">
        <v>15347</v>
      </c>
      <c r="X22" s="1">
        <v>13452</v>
      </c>
      <c r="Y22" s="1">
        <v>13284</v>
      </c>
      <c r="Z22" s="1">
        <v>11272</v>
      </c>
      <c r="AA22" s="1">
        <v>14407</v>
      </c>
      <c r="AB22" s="1">
        <v>16230</v>
      </c>
      <c r="AC22" s="1">
        <v>14548</v>
      </c>
      <c r="AD22" s="1">
        <v>16971</v>
      </c>
      <c r="AE22" s="1">
        <v>12692</v>
      </c>
      <c r="AF22" s="1">
        <v>14655</v>
      </c>
      <c r="AG22" s="1">
        <v>21015</v>
      </c>
      <c r="AH22" s="1">
        <v>23800</v>
      </c>
      <c r="AI22" s="1">
        <v>24173</v>
      </c>
      <c r="AJ22" s="1">
        <v>24203</v>
      </c>
      <c r="AK22" s="1">
        <v>24023</v>
      </c>
      <c r="AL22" s="1">
        <v>16517</v>
      </c>
      <c r="AM22" s="1">
        <v>20415</v>
      </c>
      <c r="AN22" s="1">
        <v>19570</v>
      </c>
      <c r="AO22" s="1">
        <v>16912</v>
      </c>
      <c r="AP22" s="1">
        <v>16441</v>
      </c>
      <c r="AQ22" s="1">
        <v>14964</v>
      </c>
      <c r="AR22" s="1">
        <v>17505</v>
      </c>
      <c r="AS22" s="1">
        <v>20441</v>
      </c>
      <c r="AT22" s="1">
        <v>17674</v>
      </c>
      <c r="AU22" s="1">
        <v>24685</v>
      </c>
      <c r="AV22" s="1">
        <v>12829</v>
      </c>
      <c r="AW22" s="1">
        <v>19202</v>
      </c>
      <c r="AX22" s="1">
        <v>23528</v>
      </c>
      <c r="AY22" s="1">
        <v>21493</v>
      </c>
      <c r="AZ22" s="1">
        <v>19184</v>
      </c>
      <c r="BA22" s="1">
        <v>12948</v>
      </c>
      <c r="BB22" s="1">
        <v>17216</v>
      </c>
      <c r="BC22" s="1">
        <v>13405</v>
      </c>
      <c r="BD22" s="1">
        <v>12759</v>
      </c>
      <c r="BE22" s="1">
        <v>14641</v>
      </c>
      <c r="BF22" s="1">
        <v>11595</v>
      </c>
      <c r="BG22" s="1">
        <v>15245</v>
      </c>
      <c r="BH22" s="1">
        <v>13720</v>
      </c>
      <c r="BI22" s="1">
        <v>14087</v>
      </c>
      <c r="BJ22" s="1">
        <v>14535</v>
      </c>
      <c r="BK22" s="1">
        <v>13773</v>
      </c>
      <c r="BL22" s="1">
        <v>16519</v>
      </c>
      <c r="BM22" s="1">
        <v>16654</v>
      </c>
      <c r="BN22" s="1">
        <v>19999</v>
      </c>
      <c r="BO22" s="1">
        <v>20503</v>
      </c>
      <c r="BP22" s="1">
        <v>23841</v>
      </c>
      <c r="BQ22" s="1">
        <v>24392</v>
      </c>
      <c r="BR22" s="1">
        <v>18993</v>
      </c>
      <c r="BS22" s="1">
        <v>24170</v>
      </c>
      <c r="BT22" s="1">
        <v>23464</v>
      </c>
      <c r="BU22" s="1">
        <v>20029</v>
      </c>
      <c r="BV22" s="1">
        <v>21508</v>
      </c>
      <c r="BW22" s="1">
        <v>22942</v>
      </c>
      <c r="BX22" s="1">
        <v>18154</v>
      </c>
      <c r="BY22" s="1">
        <v>19415</v>
      </c>
      <c r="BZ22" s="1">
        <v>17074</v>
      </c>
      <c r="CA22" s="1">
        <v>11425</v>
      </c>
      <c r="CB22" s="1">
        <v>14184</v>
      </c>
      <c r="CC22" s="1">
        <v>17391</v>
      </c>
      <c r="CD22" s="1">
        <v>16926</v>
      </c>
      <c r="CE22" s="1">
        <v>17373</v>
      </c>
      <c r="CF22" s="1">
        <v>22812</v>
      </c>
      <c r="CG22" s="1">
        <v>22618</v>
      </c>
      <c r="CH22" s="1">
        <v>29436</v>
      </c>
      <c r="CI22" s="1">
        <v>20459</v>
      </c>
      <c r="CJ22" s="1">
        <v>31600</v>
      </c>
      <c r="CK22" s="1">
        <v>39093</v>
      </c>
      <c r="CL22" s="1">
        <v>36464</v>
      </c>
      <c r="CM22" s="1">
        <v>54559</v>
      </c>
      <c r="CN22" s="1">
        <v>43535</v>
      </c>
      <c r="CO22" s="1">
        <v>48226</v>
      </c>
      <c r="CP22" s="1">
        <v>45412</v>
      </c>
      <c r="CQ22" s="1">
        <v>47633</v>
      </c>
      <c r="CR22" s="1">
        <v>32040</v>
      </c>
      <c r="CS22" s="1">
        <v>19760</v>
      </c>
      <c r="CT22" s="1">
        <v>17313</v>
      </c>
      <c r="CU22" s="1">
        <v>15459</v>
      </c>
      <c r="CV22" s="1">
        <v>20793</v>
      </c>
      <c r="CW22" s="1">
        <v>18207</v>
      </c>
      <c r="CX22" s="1">
        <v>17304</v>
      </c>
      <c r="CY22" s="1">
        <v>18281</v>
      </c>
    </row>
    <row r="27" spans="1:103" x14ac:dyDescent="0.25">
      <c r="A27" t="s">
        <v>41</v>
      </c>
    </row>
    <row r="28" spans="1:103" x14ac:dyDescent="0.25">
      <c r="A28">
        <v>1</v>
      </c>
      <c r="B28" t="s">
        <v>319</v>
      </c>
    </row>
    <row r="32" spans="1:103" x14ac:dyDescent="0.25">
      <c r="A32" t="s">
        <v>320</v>
      </c>
    </row>
    <row r="33" spans="1:1" x14ac:dyDescent="0.25">
      <c r="A33" t="s">
        <v>321</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B10"/>
  <sheetViews>
    <sheetView workbookViewId="0">
      <selection activeCell="B3" sqref="B3"/>
    </sheetView>
  </sheetViews>
  <sheetFormatPr defaultRowHeight="15" x14ac:dyDescent="0.25"/>
  <sheetData>
    <row r="2" spans="2:2" x14ac:dyDescent="0.25">
      <c r="B2" t="s">
        <v>112</v>
      </c>
    </row>
    <row r="3" spans="2:2" x14ac:dyDescent="0.25">
      <c r="B3" s="2" t="s">
        <v>111</v>
      </c>
    </row>
    <row r="5" spans="2:2" x14ac:dyDescent="0.25">
      <c r="B5" t="s">
        <v>108</v>
      </c>
    </row>
    <row r="6" spans="2:2" x14ac:dyDescent="0.25">
      <c r="B6" s="2" t="s">
        <v>107</v>
      </c>
    </row>
    <row r="8" spans="2:2" x14ac:dyDescent="0.25">
      <c r="B8" t="s">
        <v>103</v>
      </c>
    </row>
    <row r="9" spans="2:2" x14ac:dyDescent="0.25">
      <c r="B9" s="2" t="s">
        <v>109</v>
      </c>
    </row>
    <row r="10" spans="2:2" x14ac:dyDescent="0.25">
      <c r="B10" t="s">
        <v>110</v>
      </c>
    </row>
  </sheetData>
  <hyperlinks>
    <hyperlink ref="B6" r:id="rId1" xr:uid="{00000000-0004-0000-0F00-000000000000}"/>
    <hyperlink ref="B9" r:id="rId2" xr:uid="{00000000-0004-0000-0F00-000001000000}"/>
    <hyperlink ref="B3" r:id="rId3" xr:uid="{00000000-0004-0000-0F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To do</vt:lpstr>
      <vt:lpstr>2023 Drill Down</vt:lpstr>
      <vt:lpstr>All Ages Over Time</vt:lpstr>
      <vt:lpstr>Under 35 Over Time</vt:lpstr>
      <vt:lpstr>Net Worth</vt:lpstr>
      <vt:lpstr>Net Worth Over Time by Quintile</vt:lpstr>
      <vt:lpstr>CSV Input</vt:lpstr>
      <vt:lpstr>StatCan Data</vt:lpstr>
      <vt:lpstr>2023 per HH by Age and Quintile</vt:lpstr>
      <vt:lpstr>Under 35 per HH Over Time</vt:lpstr>
      <vt:lpstr>All Ages Over Time Data</vt:lpstr>
      <vt:lpstr>2023 by Age and Quintile</vt:lpstr>
      <vt:lpstr>HH Savings by Income Quintile</vt:lpstr>
      <vt:lpstr>HH Savings by Age</vt:lpstr>
      <vt:lpstr>Household Count</vt:lpstr>
      <vt:lpstr>CPI</vt:lpstr>
      <vt:lpstr>Household Debt</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Ang</dc:creator>
  <cp:lastModifiedBy>TMOAP</cp:lastModifiedBy>
  <dcterms:created xsi:type="dcterms:W3CDTF">2024-10-03T02:15:58Z</dcterms:created>
  <dcterms:modified xsi:type="dcterms:W3CDTF">2024-10-10T02:22:56Z</dcterms:modified>
</cp:coreProperties>
</file>